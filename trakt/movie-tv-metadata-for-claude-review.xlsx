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1" documentId="11_57F6E023060D0DAE12721A8E34B16666BE4DCBA1" xr6:coauthVersionLast="47" xr6:coauthVersionMax="47" xr10:uidLastSave="{A5EC2F0A-45A2-40B3-B750-784614D226C0}"/>
  <bookViews>
    <workbookView xWindow="0" yWindow="0" windowWidth="0" windowHeight="0" xr2:uid="{00000000-000D-0000-FFFF-FFFF00000000}"/>
  </bookViews>
  <sheets>
    <sheet name="Research Tracker" sheetId="1" r:id="rId1"/>
    <sheet name="Progress Summary" sheetId="2" r:id="rId2"/>
    <sheet name="Controlled Vocabulary" sheetId="3" r:id="rId3"/>
    <sheet name="Instructions" sheetId="4" r:id="rId4"/>
    <sheet name="Prompt" sheetId="5" r:id="rId5"/>
  </sheets>
  <definedNames>
    <definedName name="_xlnm._FilterDatabase" localSheetId="3" hidden="1">Instructions!$A$1:$B$22</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2" l="1"/>
  <c r="B26" i="2"/>
  <c r="D26" i="2" s="1"/>
  <c r="C25" i="2"/>
  <c r="B25" i="2"/>
  <c r="D25" i="2" s="1"/>
  <c r="C24" i="2"/>
  <c r="B24" i="2"/>
  <c r="D24" i="2" s="1"/>
  <c r="C23" i="2"/>
  <c r="B23" i="2"/>
  <c r="D23" i="2" s="1"/>
  <c r="C22" i="2"/>
  <c r="B22" i="2"/>
  <c r="D22" i="2" s="1"/>
  <c r="C21" i="2"/>
  <c r="B21" i="2"/>
  <c r="D21" i="2" s="1"/>
  <c r="C20" i="2"/>
  <c r="B20" i="2"/>
  <c r="D20" i="2" s="1"/>
  <c r="C19" i="2"/>
  <c r="B19" i="2"/>
  <c r="D19" i="2" s="1"/>
  <c r="C18" i="2"/>
  <c r="B18" i="2"/>
  <c r="D18" i="2" s="1"/>
  <c r="C17" i="2"/>
  <c r="B17" i="2"/>
  <c r="D17" i="2" s="1"/>
  <c r="C16" i="2"/>
  <c r="B16" i="2"/>
  <c r="D16" i="2" s="1"/>
  <c r="C15" i="2"/>
  <c r="B15" i="2"/>
  <c r="D15" i="2" s="1"/>
  <c r="C14" i="2"/>
  <c r="B14" i="2"/>
  <c r="D14" i="2" s="1"/>
  <c r="C13" i="2"/>
  <c r="B13" i="2"/>
  <c r="D13" i="2" s="1"/>
  <c r="C12" i="2"/>
  <c r="B12" i="2"/>
  <c r="D12" i="2" s="1"/>
  <c r="C11" i="2"/>
  <c r="B11" i="2"/>
  <c r="D11" i="2" s="1"/>
  <c r="C10" i="2"/>
  <c r="B10" i="2"/>
  <c r="D10" i="2" s="1"/>
  <c r="B6" i="2"/>
  <c r="B5" i="2"/>
  <c r="B4" i="2"/>
  <c r="B3" i="2"/>
  <c r="B2" i="2"/>
  <c r="B7" i="2" l="1"/>
</calcChain>
</file>

<file path=xl/sharedStrings.xml><?xml version="1.0" encoding="utf-8"?>
<sst xmlns="http://schemas.openxmlformats.org/spreadsheetml/2006/main" count="15999" uniqueCount="7881">
  <si>
    <t>Sequence</t>
  </si>
  <si>
    <t>Batch</t>
  </si>
  <si>
    <t>Title Key</t>
  </si>
  <si>
    <t>Title</t>
  </si>
  <si>
    <t>Year</t>
  </si>
  <si>
    <t>Type</t>
  </si>
  <si>
    <t>IMDb ID</t>
  </si>
  <si>
    <t>TMDB ID</t>
  </si>
  <si>
    <t>Status</t>
  </si>
  <si>
    <t>Subject</t>
  </si>
  <si>
    <t>Era</t>
  </si>
  <si>
    <t>Genre</t>
  </si>
  <si>
    <t>Subgenres</t>
  </si>
  <si>
    <t>Tones</t>
  </si>
  <si>
    <t>Source 1</t>
  </si>
  <si>
    <t>Source 2</t>
  </si>
  <si>
    <t>Evidence Summary</t>
  </si>
  <si>
    <t>Synopsis</t>
  </si>
  <si>
    <t>Confidence</t>
  </si>
  <si>
    <t>Reviewed On</t>
  </si>
  <si>
    <t>QA Status</t>
  </si>
  <si>
    <t>Notes</t>
  </si>
  <si>
    <t>Batch 01</t>
  </si>
  <si>
    <t>show:64464</t>
  </si>
  <si>
    <t>11.22.63</t>
  </si>
  <si>
    <t>2016</t>
  </si>
  <si>
    <t>show</t>
  </si>
  <si>
    <t>tt2879552</t>
  </si>
  <si>
    <t>64464</t>
  </si>
  <si>
    <t>Complete</t>
  </si>
  <si>
    <t>history-alteration</t>
  </si>
  <si>
    <t>cold-war</t>
  </si>
  <si>
    <t>science-fiction</t>
  </si>
  <si>
    <t>alternate-history; time-travel</t>
  </si>
  <si>
    <t>suspenseful; emotional; atmospheric; character-driven</t>
  </si>
  <si>
    <t>https://www.imdb.com/title/tt2879552/</t>
  </si>
  <si>
    <t>https://www.google.com/search?q=11.22.63%202016%20official%20synopsis</t>
  </si>
  <si>
    <t>A teacher travels to the early 1960s to prevent the JFK assassination, making alteration of history the central concern.</t>
  </si>
  <si>
    <t>High</t>
  </si>
  <si>
    <t>2026-08-27</t>
  </si>
  <si>
    <t>Passed</t>
  </si>
  <si>
    <t>movie:300671</t>
  </si>
  <si>
    <t>13 Hours: The Secret Soldiers of Benghazi</t>
  </si>
  <si>
    <t>movie</t>
  </si>
  <si>
    <t>tt4172430</t>
  </si>
  <si>
    <t>300671</t>
  </si>
  <si>
    <t>military-duty</t>
  </si>
  <si>
    <t>contemporary</t>
  </si>
  <si>
    <t>war</t>
  </si>
  <si>
    <t>military-drama; siege-film</t>
  </si>
  <si>
    <t>intense; gritty; tense; heroic</t>
  </si>
  <si>
    <t>https://www.imdb.com/title/tt4172430/</t>
  </si>
  <si>
    <t>https://www.google.com/search?q=13%20Hours%3A%20The%20Secret%20Soldiers%20of%20Benghazi%202016%20official%20synopsis</t>
  </si>
  <si>
    <t>A security team defends U.S. compounds during the 2012 Benghazi attacks.</t>
  </si>
  <si>
    <t>show:118357</t>
  </si>
  <si>
    <t>1883</t>
  </si>
  <si>
    <t>2021</t>
  </si>
  <si>
    <t>tt13991232</t>
  </si>
  <si>
    <t>118357</t>
  </si>
  <si>
    <t>westward-migration</t>
  </si>
  <si>
    <t>late-19th-century</t>
  </si>
  <si>
    <t>western</t>
  </si>
  <si>
    <t>frontier-drama; family-saga; survival-western</t>
  </si>
  <si>
    <t>epic; rugged; melancholic; emotional</t>
  </si>
  <si>
    <t>https://www.imdb.com/title/tt13991232/</t>
  </si>
  <si>
    <t>https://www.google.com/search?q=1883%202021%20official%20synopsis</t>
  </si>
  <si>
    <t>The Dutton family undertakes an arduous wagon journey west before settling in Montana.</t>
  </si>
  <si>
    <t>show:90669</t>
  </si>
  <si>
    <t>1899</t>
  </si>
  <si>
    <t>2022</t>
  </si>
  <si>
    <t>tt9319668</t>
  </si>
  <si>
    <t>90669</t>
  </si>
  <si>
    <t>immigration-displacement</t>
  </si>
  <si>
    <t>mystery</t>
  </si>
  <si>
    <t>historical-mystery; science-fiction-mystery; psychological-thriller</t>
  </si>
  <si>
    <t>cerebral; ominous; atmospheric; suspenseful</t>
  </si>
  <si>
    <t>https://www.imdb.com/title/tt9319668/</t>
  </si>
  <si>
    <t>https://www.google.com/search?q=1899%202022%20official%20synopsis</t>
  </si>
  <si>
    <t>European emigrants crossing the Atlantic encounter a reality-bending mystery aboard ship.</t>
  </si>
  <si>
    <t>movie:530915</t>
  </si>
  <si>
    <t>1917</t>
  </si>
  <si>
    <t>2019</t>
  </si>
  <si>
    <t>tt8579674</t>
  </si>
  <si>
    <t>530915</t>
  </si>
  <si>
    <t>world-war-i</t>
  </si>
  <si>
    <t>military-drama; survival-drama</t>
  </si>
  <si>
    <t>intense; immersive; tense; bleak; emotional</t>
  </si>
  <si>
    <t>https://www.imdb.com/title/tt8579674/</t>
  </si>
  <si>
    <t>https://www.google.com/search?q=1917%202019%20official%20synopsis</t>
  </si>
  <si>
    <t>Two soldiers cross enemy territory to deliver an order that could save a regiment.</t>
  </si>
  <si>
    <t>show:157744</t>
  </si>
  <si>
    <t>1923</t>
  </si>
  <si>
    <t>tt18335752</t>
  </si>
  <si>
    <t>157744</t>
  </si>
  <si>
    <t>family-legacy</t>
  </si>
  <si>
    <t>early-20th-century</t>
  </si>
  <si>
    <t>neo-western; family-saga; historical-drama</t>
  </si>
  <si>
    <t>rugged; epic; intense; character-driven</t>
  </si>
  <si>
    <t>https://www.imdb.com/title/tt18335752/</t>
  </si>
  <si>
    <t>https://www.google.com/search?q=1923%202022%20official%20synopsis</t>
  </si>
  <si>
    <t>A Dutton generation protects its family and ranch through early twentieth-century hardship.</t>
  </si>
  <si>
    <t>movie:1100988</t>
  </si>
  <si>
    <t>28 Years Later</t>
  </si>
  <si>
    <t>2025</t>
  </si>
  <si>
    <t>tt10548174</t>
  </si>
  <si>
    <t>1100988</t>
  </si>
  <si>
    <t>survival</t>
  </si>
  <si>
    <t>near-future</t>
  </si>
  <si>
    <t>horror</t>
  </si>
  <si>
    <t>post-apocalyptic; zombie-horror; survival-horror</t>
  </si>
  <si>
    <t>bleak; intense; suspenseful; visceral</t>
  </si>
  <si>
    <t>https://www.imdb.com/title/tt10548174/</t>
  </si>
  <si>
    <t>https://www.google.com/search?q=28%20Years%20Later%202025%20official%20synopsis</t>
  </si>
  <si>
    <t>Survivors face evolved infected and the dangers of venturing beyond an isolated community.</t>
  </si>
  <si>
    <t>show:108545</t>
  </si>
  <si>
    <t>3 Body Problem</t>
  </si>
  <si>
    <t>2024</t>
  </si>
  <si>
    <t>tt13016388</t>
  </si>
  <si>
    <t>108545</t>
  </si>
  <si>
    <t>extraterrestrial-contact</t>
  </si>
  <si>
    <t>multi-era</t>
  </si>
  <si>
    <t>first-contact; science-fiction-mystery; alien-invasion</t>
  </si>
  <si>
    <t>cerebral; epic; ominous; suspenseful</t>
  </si>
  <si>
    <t>https://www.imdb.com/title/tt13016388/</t>
  </si>
  <si>
    <t>https://www.google.com/search?q=3%20Body%20Problem%202024%20official%20synopsis</t>
  </si>
  <si>
    <t>Scientists confront an existential threat arising from contact with an extraterrestrial civilization.</t>
  </si>
  <si>
    <t>show:4608</t>
  </si>
  <si>
    <t>30 Rock</t>
  </si>
  <si>
    <t>2006</t>
  </si>
  <si>
    <t>tt0496424</t>
  </si>
  <si>
    <t>4608</t>
  </si>
  <si>
    <t>workplace-culture</t>
  </si>
  <si>
    <t>comedy</t>
  </si>
  <si>
    <t>workplace-comedy; satire; sitcom</t>
  </si>
  <si>
    <t>witty; satirical; irreverent; fast-paced</t>
  </si>
  <si>
    <t>https://www.imdb.com/title/tt0496424/</t>
  </si>
  <si>
    <t>https://www.google.com/search?q=30%20Rock%202006%20official%20synopsis</t>
  </si>
  <si>
    <t>A television writer manages talent, staff, and corporate interference behind a sketch-comedy show.</t>
  </si>
  <si>
    <t>movie:1271</t>
  </si>
  <si>
    <t>300</t>
  </si>
  <si>
    <t>2007</t>
  </si>
  <si>
    <t>tt0416449</t>
  </si>
  <si>
    <t>1271</t>
  </si>
  <si>
    <t>resistance-invasion</t>
  </si>
  <si>
    <t>classical-antiquity</t>
  </si>
  <si>
    <t>action</t>
  </si>
  <si>
    <t>historical-action; sword-and-sandal; war-epic</t>
  </si>
  <si>
    <t>stylized; intense; epic; heroic</t>
  </si>
  <si>
    <t>https://www.imdb.com/title/tt0416449/</t>
  </si>
  <si>
    <t>https://www.google.com/search?q=300%202007%20official%20synopsis</t>
  </si>
  <si>
    <t>Spartan forces resist the invading Persian army at Thermopylae.</t>
  </si>
  <si>
    <t>movie:661539</t>
  </si>
  <si>
    <t>A Complete Unknown</t>
  </si>
  <si>
    <t>tt11563598</t>
  </si>
  <si>
    <t>661539</t>
  </si>
  <si>
    <t>artistic-reinvention</t>
  </si>
  <si>
    <t>biography</t>
  </si>
  <si>
    <t>music-biography; historical-drama</t>
  </si>
  <si>
    <t>character-driven; nostalgic; reflective; rebellious</t>
  </si>
  <si>
    <t>https://www.imdb.com/title/tt11563598/</t>
  </si>
  <si>
    <t>https://www.google.com/search?q=A%20Complete%20Unknown%202024%20official%20synopsis</t>
  </si>
  <si>
    <t>Bob Dylan rises through the folk scene and controversially reinvents his sound.</t>
  </si>
  <si>
    <t>show:225120</t>
  </si>
  <si>
    <t>A Man in Full</t>
  </si>
  <si>
    <t>tt15845610</t>
  </si>
  <si>
    <t>225120</t>
  </si>
  <si>
    <t>wealth-power</t>
  </si>
  <si>
    <t>drama</t>
  </si>
  <si>
    <t>financial-drama; political-drama; social-satire</t>
  </si>
  <si>
    <t>character-driven; tense; satirical</t>
  </si>
  <si>
    <t>https://www.imdb.com/title/tt15845610/</t>
  </si>
  <si>
    <t>https://www.google.com/search?q=A%20Man%20in%20Full%202024%20official%20synopsis</t>
  </si>
  <si>
    <t>A real-estate mogul facing bankruptcy fights to protect his business empire and status.</t>
  </si>
  <si>
    <t>show:245312</t>
  </si>
  <si>
    <t>A Man on the Inside</t>
  </si>
  <si>
    <t>tt26670955</t>
  </si>
  <si>
    <t>245312</t>
  </si>
  <si>
    <t>aging-purpose</t>
  </si>
  <si>
    <t>workplace-comedy; mystery-comedy; dramedy</t>
  </si>
  <si>
    <t>warm; heartfelt; witty; reflective</t>
  </si>
  <si>
    <t>https://www.imdb.com/title/tt26670955/</t>
  </si>
  <si>
    <t>https://www.google.com/search?q=A%20Man%20on%20the%20Inside%202024%20official%20synopsis</t>
  </si>
  <si>
    <t>A widowed retiree finds renewed purpose through an undercover assignment and new relationships.</t>
  </si>
  <si>
    <t>movie:447332</t>
  </si>
  <si>
    <t>A Quiet Place</t>
  </si>
  <si>
    <t>2018</t>
  </si>
  <si>
    <t>tt6644200</t>
  </si>
  <si>
    <t>447332</t>
  </si>
  <si>
    <t>family-survival</t>
  </si>
  <si>
    <t>post-apocalyptic; creature-feature; survival-horror</t>
  </si>
  <si>
    <t>tense; suspenseful; emotional; atmospheric</t>
  </si>
  <si>
    <t>https://www.imdb.com/title/tt6644200/</t>
  </si>
  <si>
    <t>https://www.google.com/search?q=A%20Quiet%20Place%202018%20official%20synopsis</t>
  </si>
  <si>
    <t>A family must protect one another in a world where sound attracts deadly creatures.</t>
  </si>
  <si>
    <t>movie:332562</t>
  </si>
  <si>
    <t>A Star Is Born</t>
  </si>
  <si>
    <t>tt1517451</t>
  </si>
  <si>
    <t>332562</t>
  </si>
  <si>
    <t>addiction-relationships</t>
  </si>
  <si>
    <t>music-drama; romantic-drama; tragedy</t>
  </si>
  <si>
    <t>emotional; tragic; intimate; character-driven</t>
  </si>
  <si>
    <t>https://www.imdb.com/title/tt1517451/</t>
  </si>
  <si>
    <t>https://www.google.com/search?q=A%20Star%20Is%20Born%202018%20official%20synopsis</t>
  </si>
  <si>
    <t>A musician’s addiction damages his relationship as the singer he mentors becomes famous.</t>
  </si>
  <si>
    <t>show:103992</t>
  </si>
  <si>
    <t>A Teacher</t>
  </si>
  <si>
    <t>2020</t>
  </si>
  <si>
    <t>tt10680614</t>
  </si>
  <si>
    <t>103992</t>
  </si>
  <si>
    <t>abuse-of-power</t>
  </si>
  <si>
    <t>psychological-drama; limited-series</t>
  </si>
  <si>
    <t>unsettling; intimate; serious; character-driven</t>
  </si>
  <si>
    <t>https://www.imdb.com/title/tt10680614/</t>
  </si>
  <si>
    <t>https://www.google.com/search?q=A%20Teacher%202020%20official%20synopsis</t>
  </si>
  <si>
    <t>A teacher grooms and abuses a student, and the story follows the lasting harm.</t>
  </si>
  <si>
    <t>show:71737</t>
  </si>
  <si>
    <t>A.P. Bio</t>
  </si>
  <si>
    <t>tt6461726</t>
  </si>
  <si>
    <t>71737</t>
  </si>
  <si>
    <t>revenge</t>
  </si>
  <si>
    <t>workplace-comedy; school-comedy; sitcom</t>
  </si>
  <si>
    <t>irreverent; witty; cynical; offbeat</t>
  </si>
  <si>
    <t>https://www.imdb.com/title/tt6461726/</t>
  </si>
  <si>
    <t>https://www.google.com/search?q=A.P.%20Bio%202018%20official%20synopsis</t>
  </si>
  <si>
    <t>A disgraced professor uses his students to pursue revenge against a professional rival.</t>
  </si>
  <si>
    <t>show:125935</t>
  </si>
  <si>
    <t>Abbott Elementary</t>
  </si>
  <si>
    <t>tt14218830</t>
  </si>
  <si>
    <t>125935</t>
  </si>
  <si>
    <t>public-education</t>
  </si>
  <si>
    <t>workplace-comedy; mockumentary; sitcom</t>
  </si>
  <si>
    <t>optimistic; heartfelt; witty; warm</t>
  </si>
  <si>
    <t>https://www.imdb.com/title/tt14218830/</t>
  </si>
  <si>
    <t>https://www.google.com/search?q=Abbott%20Elementary%202021%20official%20synopsis</t>
  </si>
  <si>
    <t>Teachers help students succeed in an underfunded Philadelphia public school.</t>
  </si>
  <si>
    <t>show:249042</t>
  </si>
  <si>
    <t>Adolescence</t>
  </si>
  <si>
    <t>tt31806037</t>
  </si>
  <si>
    <t>249042</t>
  </si>
  <si>
    <t>youth-violence</t>
  </si>
  <si>
    <t>psychological-drama; crime-drama; limited-series</t>
  </si>
  <si>
    <t>intense; unsettling; intimate; bleak</t>
  </si>
  <si>
    <t>https://www.imdb.com/title/tt31806037/</t>
  </si>
  <si>
    <t>https://www.google.com/search?q=Adolescence%202025%20official%20synopsis</t>
  </si>
  <si>
    <t>A family and investigators confront the causes and consequences of a young teenager’s alleged killing.</t>
  </si>
  <si>
    <t>show:260458</t>
  </si>
  <si>
    <t>Adults</t>
  </si>
  <si>
    <t>tt33049767</t>
  </si>
  <si>
    <t>260458</t>
  </si>
  <si>
    <t>early-adulthood</t>
  </si>
  <si>
    <t>ensemble-comedy; friendship-comedy; sitcom</t>
  </si>
  <si>
    <t>irreverent; witty; awkward; character-driven</t>
  </si>
  <si>
    <t>https://www.imdb.com/title/tt33049767/</t>
  </si>
  <si>
    <t>https://www.google.com/search?q=Adults%202025%20official%20synopsis</t>
  </si>
  <si>
    <t>Twenty-something housemates navigate careers, relationships, and adult responsibilities.</t>
  </si>
  <si>
    <t>show:114461</t>
  </si>
  <si>
    <t>Ahsoka</t>
  </si>
  <si>
    <t>2023</t>
  </si>
  <si>
    <t>tt13622776</t>
  </si>
  <si>
    <t>114461</t>
  </si>
  <si>
    <t>resisting-authoritarianism</t>
  </si>
  <si>
    <t>far-future</t>
  </si>
  <si>
    <t>space-opera; action-adventure; fantasy-adventure</t>
  </si>
  <si>
    <t>epic; adventurous; atmospheric; character-driven</t>
  </si>
  <si>
    <t>https://www.imdb.com/title/tt13622776/</t>
  </si>
  <si>
    <t>https://www.google.com/search?q=Ahsoka%202023%20official%20synopsis</t>
  </si>
  <si>
    <t>Ahsoka and her allies defend the New Republic against remnants of the fallen Empire.</t>
  </si>
  <si>
    <t>movie:964980</t>
  </si>
  <si>
    <t>Air</t>
  </si>
  <si>
    <t>tt16419074</t>
  </si>
  <si>
    <t>964980</t>
  </si>
  <si>
    <t>business-innovation</t>
  </si>
  <si>
    <t>late-20th-century</t>
  </si>
  <si>
    <t>sports-drama; business-drama; biography</t>
  </si>
  <si>
    <t>uplifting; witty; energetic; inspirational</t>
  </si>
  <si>
    <t>https://www.imdb.com/title/tt16419074/</t>
  </si>
  <si>
    <t>https://www.google.com/search?q=Air%202023%20official%20synopsis</t>
  </si>
  <si>
    <t>Nike pursues a landmark endorsement agreement with rookie Michael Jordan.</t>
  </si>
  <si>
    <t>show:157239</t>
  </si>
  <si>
    <t>Alien: Earth</t>
  </si>
  <si>
    <t>tt13623632</t>
  </si>
  <si>
    <t>157239</t>
  </si>
  <si>
    <t>human-machine-boundaries</t>
  </si>
  <si>
    <t>science-fiction-horror; creature-feature; corporate-dystopia</t>
  </si>
  <si>
    <t>ominous; visceral; atmospheric; suspenseful</t>
  </si>
  <si>
    <t>https://www.imdb.com/title/tt13623632/</t>
  </si>
  <si>
    <t>https://www.google.com/search?q=Alien%3A%20Earth%202025%20official%20synopsis</t>
  </si>
  <si>
    <t>Human consciousness transfer and synthetic bodies frame humanity’s encounter with an extraterrestrial threat.</t>
  </si>
  <si>
    <t>show:246386</t>
  </si>
  <si>
    <t>All Her Fault</t>
  </si>
  <si>
    <t>tt31314751</t>
  </si>
  <si>
    <t>246386</t>
  </si>
  <si>
    <t>missing-child</t>
  </si>
  <si>
    <t>thriller</t>
  </si>
  <si>
    <t>domestic-thriller; psychological-thriller; mystery-thriller</t>
  </si>
  <si>
    <t>tense; suspenseful; emotional; twisty</t>
  </si>
  <si>
    <t>https://www.imdb.com/title/tt31314751/</t>
  </si>
  <si>
    <t>https://www.google.com/search?q=All%20Her%20Fault%202025%20official%20synopsis</t>
  </si>
  <si>
    <t>A mother’s search for her missing son exposes deception and family secrets.</t>
  </si>
  <si>
    <t>show:99966</t>
  </si>
  <si>
    <t>All of Us Are Dead</t>
  </si>
  <si>
    <t>tt14169960</t>
  </si>
  <si>
    <t>99966</t>
  </si>
  <si>
    <t>zombie-horror; coming-of-age; survival-horror</t>
  </si>
  <si>
    <t>intense; suspenseful; emotional; bleak</t>
  </si>
  <si>
    <t>https://www.imdb.com/title/tt14169960/</t>
  </si>
  <si>
    <t>https://www.google.com/search?q=All%20of%20Us%20Are%20Dead%202022%20official%20synopsis</t>
  </si>
  <si>
    <t>Students trapped in a high school fight to survive a rapidly spreading zombie outbreak.</t>
  </si>
  <si>
    <t>show:89624</t>
  </si>
  <si>
    <t>Almost Family</t>
  </si>
  <si>
    <t>tt9165444</t>
  </si>
  <si>
    <t>89624</t>
  </si>
  <si>
    <t>family-identity</t>
  </si>
  <si>
    <t>family-drama; ensemble-drama</t>
  </si>
  <si>
    <t>emotional; character-driven; heartfelt</t>
  </si>
  <si>
    <t>https://www.imdb.com/title/tt9165444/</t>
  </si>
  <si>
    <t>https://www.google.com/search?q=Almost%20Family%202019%20official%20synopsis</t>
  </si>
  <si>
    <t>A woman discovers numerous half-siblings after learning her fertility-doctor father used his own genetic material.</t>
  </si>
  <si>
    <t>show:64513</t>
  </si>
  <si>
    <t>American Crime Story</t>
  </si>
  <si>
    <t>tt2788432</t>
  </si>
  <si>
    <t>64513</t>
  </si>
  <si>
    <t>public-scandal</t>
  </si>
  <si>
    <t>crime</t>
  </si>
  <si>
    <t>true-crime; anthology; docudrama</t>
  </si>
  <si>
    <t>serious; intense; character-driven; provocative</t>
  </si>
  <si>
    <t>https://www.imdb.com/title/tt2788432/</t>
  </si>
  <si>
    <t>https://www.google.com/search?q=American%20Crime%20Story%202016%20official%20synopsis</t>
  </si>
  <si>
    <t>Each season dramatizes a notorious American crime or political scandal and its wider consequences.</t>
  </si>
  <si>
    <t>movie:1056360</t>
  </si>
  <si>
    <t>American Fiction</t>
  </si>
  <si>
    <t>tt23561236</t>
  </si>
  <si>
    <t>1056360</t>
  </si>
  <si>
    <t>racial-stereotyping</t>
  </si>
  <si>
    <t>satire; literary-drama; family-drama</t>
  </si>
  <si>
    <t>satirical; witty; thoughtful; bittersweet</t>
  </si>
  <si>
    <t>https://www.imdb.com/title/tt23561236/</t>
  </si>
  <si>
    <t>https://www.google.com/search?q=American%20Fiction%202023%20official%20synopsis</t>
  </si>
  <si>
    <t>A novelist’s parody exposes the publishing industry’s appetite for reductive Black stereotypes.</t>
  </si>
  <si>
    <t>show:127585</t>
  </si>
  <si>
    <t>American Gigolo</t>
  </si>
  <si>
    <t>tt4257262</t>
  </si>
  <si>
    <t>127585</t>
  </si>
  <si>
    <t>wrongful-conviction</t>
  </si>
  <si>
    <t>neo-noir; mystery-drama; romantic-drama</t>
  </si>
  <si>
    <t>brooding; stylish; tense; character-driven</t>
  </si>
  <si>
    <t>https://www.imdb.com/title/tt4257262/</t>
  </si>
  <si>
    <t>https://www.google.com/search?q=American%20Gigolo%202022%20official%20synopsis</t>
  </si>
  <si>
    <t>A former escort seeks the truth after release from a wrongful murder conviction.</t>
  </si>
  <si>
    <t>show:1413</t>
  </si>
  <si>
    <t>American Horror Story</t>
  </si>
  <si>
    <t>2011</t>
  </si>
  <si>
    <t>tt1844624</t>
  </si>
  <si>
    <t>1413</t>
  </si>
  <si>
    <t>fear-and-trauma</t>
  </si>
  <si>
    <t>anthology-horror; supernatural-horror; psychological-horror</t>
  </si>
  <si>
    <t>dark; disturbing; atmospheric; macabre; suspenseful</t>
  </si>
  <si>
    <t>https://www.imdb.com/title/tt1844624/</t>
  </si>
  <si>
    <t>https://www.google.com/search?q=American%20Horror%20Story%202011%20official%20synopsis</t>
  </si>
  <si>
    <t>The anthology examines varied forms of physical and psychological horror across self-contained stories.</t>
  </si>
  <si>
    <t>show:215866</t>
  </si>
  <si>
    <t>American Primeval</t>
  </si>
  <si>
    <t>tt24069848</t>
  </si>
  <si>
    <t>215866</t>
  </si>
  <si>
    <t>frontier-conflict</t>
  </si>
  <si>
    <t>19th-century</t>
  </si>
  <si>
    <t>revisionist-western; survival-western; historical-drama</t>
  </si>
  <si>
    <t>brutal; gritty; bleak; intense</t>
  </si>
  <si>
    <t>https://www.imdb.com/title/tt24069848/</t>
  </si>
  <si>
    <t>https://www.google.com/search?q=American%20Primeval%202025%20official%20synopsis</t>
  </si>
  <si>
    <t>Settlers, Indigenous people, religious forces, and authorities collide for control in the 1857 Utah Territory.</t>
  </si>
  <si>
    <t>show:91746</t>
  </si>
  <si>
    <t>American Rust</t>
  </si>
  <si>
    <t>tt1532495</t>
  </si>
  <si>
    <t>91746</t>
  </si>
  <si>
    <t>economic-decline</t>
  </si>
  <si>
    <t>rust-belt-noir; police-drama; family-drama</t>
  </si>
  <si>
    <t>bleak; gritty; slow-burn; character-driven</t>
  </si>
  <si>
    <t>https://www.imdb.com/title/tt1532495/</t>
  </si>
  <si>
    <t>https://www.google.com/search?q=American%20Rust%202021%20official%20synopsis</t>
  </si>
  <si>
    <t>A murder investigation unfolds in a struggling Rust Belt town shaped by a tattered American dream.</t>
  </si>
  <si>
    <t>movie:190859</t>
  </si>
  <si>
    <t>American Sniper</t>
  </si>
  <si>
    <t>2014</t>
  </si>
  <si>
    <t>tt2179136</t>
  </si>
  <si>
    <t>190859</t>
  </si>
  <si>
    <t>combat-trauma</t>
  </si>
  <si>
    <t>military-biography; combat-drama</t>
  </si>
  <si>
    <t>intense; gritty; somber; character-driven</t>
  </si>
  <si>
    <t>https://www.imdb.com/title/tt2179136/</t>
  </si>
  <si>
    <t>https://www.google.com/search?q=American%20Sniper%202014%20official%20synopsis</t>
  </si>
  <si>
    <t>A military marksman’s service and repeated deployments strain his life beyond the battlefield.</t>
  </si>
  <si>
    <t>movie:915935</t>
  </si>
  <si>
    <t>Anatomy of a Fall</t>
  </si>
  <si>
    <t>tt17009710</t>
  </si>
  <si>
    <t>915935</t>
  </si>
  <si>
    <t>truth-and-ambiguity</t>
  </si>
  <si>
    <t>legal-drama; psychological-drama; courtroom-mystery</t>
  </si>
  <si>
    <t>cerebral; tense; ambiguous; character-driven</t>
  </si>
  <si>
    <t>https://www.imdb.com/title/tt17009710/</t>
  </si>
  <si>
    <t>https://www.google.com/search?q=Anatomy%20of%20a%20Fall%202023%20official%20synopsis</t>
  </si>
  <si>
    <t>A death investigation and trial expose conflicting narratives about a marriage and possible guilt.</t>
  </si>
  <si>
    <t>movie:109443</t>
  </si>
  <si>
    <t>Anchorman 2: The Legend Continues</t>
  </si>
  <si>
    <t>2013</t>
  </si>
  <si>
    <t>tt1229340</t>
  </si>
  <si>
    <t>109443</t>
  </si>
  <si>
    <t>media-sensationalism</t>
  </si>
  <si>
    <t>media-satire; workplace-comedy; absurdist-comedy</t>
  </si>
  <si>
    <t>irreverent; satirical; absurd; energetic</t>
  </si>
  <si>
    <t>https://www.imdb.com/title/tt1229340/</t>
  </si>
  <si>
    <t>https://www.google.com/search?q=Anchorman%202%3A%20The%20Legend%20Continues%202013%20official%20synopsis</t>
  </si>
  <si>
    <t>A news team enters cable news and embraces sensational tactics to win ratings.</t>
  </si>
  <si>
    <t>movie:8699</t>
  </si>
  <si>
    <t>Anchorman: The Legend of Ron Burgundy</t>
  </si>
  <si>
    <t>2004</t>
  </si>
  <si>
    <t>tt0357413</t>
  </si>
  <si>
    <t>8699</t>
  </si>
  <si>
    <t>workplace-sexism</t>
  </si>
  <si>
    <t>irreverent; satirical; absurd; quotable</t>
  </si>
  <si>
    <t>https://www.imdb.com/title/tt0357413/</t>
  </si>
  <si>
    <t>https://www.google.com/search?q=Anchorman%3A%20The%20Legend%20of%20Ron%20Burgundy%202004%20official%20synopsis</t>
  </si>
  <si>
    <t>A male-dominated television newsroom resists the arrival of an ambitious female journalist.</t>
  </si>
  <si>
    <t>movie:300668</t>
  </si>
  <si>
    <t>Annihilation</t>
  </si>
  <si>
    <t>tt2798920</t>
  </si>
  <si>
    <t>300668</t>
  </si>
  <si>
    <t>self-destruction</t>
  </si>
  <si>
    <t>cosmic-horror; science-fiction-horror; psychological-drama</t>
  </si>
  <si>
    <t>cerebral; atmospheric; unsettling; surreal</t>
  </si>
  <si>
    <t>https://www.imdb.com/title/tt2798920/</t>
  </si>
  <si>
    <t>https://www.google.com/search?q=Annihilation%202018%20official%20synopsis</t>
  </si>
  <si>
    <t>An expedition into a mutating zone becomes an examination of transformation and self-destruction.</t>
  </si>
  <si>
    <t>movie:1064213</t>
  </si>
  <si>
    <t>Anora</t>
  </si>
  <si>
    <t>tt28607951</t>
  </si>
  <si>
    <t>1064213</t>
  </si>
  <si>
    <t>class-exploitation</t>
  </si>
  <si>
    <t>romantic-drama; dark-comedy; social-drama</t>
  </si>
  <si>
    <t>energetic; bittersweet; raw; character-driven</t>
  </si>
  <si>
    <t>https://www.imdb.com/title/tt28607951/</t>
  </si>
  <si>
    <t>https://www.google.com/search?q=Anora%202024%20official%20synopsis</t>
  </si>
  <si>
    <t>A young woman’s relationship with a wealthy heir exposes class power and disposability.</t>
  </si>
  <si>
    <t>movie:1072790</t>
  </si>
  <si>
    <t>Anyone But You</t>
  </si>
  <si>
    <t>tt26047818</t>
  </si>
  <si>
    <t>1072790</t>
  </si>
  <si>
    <t>romantic-vulnerability</t>
  </si>
  <si>
    <t>romance</t>
  </si>
  <si>
    <t>romantic-comedy; enemies-to-lovers</t>
  </si>
  <si>
    <t>witty; playful; lighthearted; warm</t>
  </si>
  <si>
    <t>https://www.imdb.com/title/tt26047818/</t>
  </si>
  <si>
    <t>https://www.google.com/search?q=Anyone%20But%20You%202023%20official%20synopsis</t>
  </si>
  <si>
    <t>Two people mask unresolved attraction with hostility before confronting their vulnerability.</t>
  </si>
  <si>
    <t>movie:329865</t>
  </si>
  <si>
    <t>Arrival</t>
  </si>
  <si>
    <t>tt2543164</t>
  </si>
  <si>
    <t>329865</t>
  </si>
  <si>
    <t>communication</t>
  </si>
  <si>
    <t>first-contact; linguistic-science-fiction; psychological-drama</t>
  </si>
  <si>
    <t>cerebral; emotional; atmospheric; contemplative</t>
  </si>
  <si>
    <t>https://www.imdb.com/title/tt2543164/</t>
  </si>
  <si>
    <t>https://www.google.com/search?q=Arrival%202016%20official%20synopsis</t>
  </si>
  <si>
    <t>A linguist must establish communication with extraterrestrial visitors and understand their perception of time.</t>
  </si>
  <si>
    <t>show:65495</t>
  </si>
  <si>
    <t>Atlanta</t>
  </si>
  <si>
    <t>tt4288182</t>
  </si>
  <si>
    <t>65495</t>
  </si>
  <si>
    <t>black-creative-ambition</t>
  </si>
  <si>
    <t>dramedy; social-satire; surreal-comedy</t>
  </si>
  <si>
    <t>satirical; surreal; character-driven; offbeat</t>
  </si>
  <si>
    <t>https://www.imdb.com/title/tt4288182/</t>
  </si>
  <si>
    <t>https://www.google.com/search?q=Atlanta%202016%20official%20synopsis</t>
  </si>
  <si>
    <t>An aspiring manager navigates music, money, race, and identity in Atlanta’s cultural landscape.</t>
  </si>
  <si>
    <t>movie:76600</t>
  </si>
  <si>
    <t>Avatar: The Way of Water</t>
  </si>
  <si>
    <t>tt1630029</t>
  </si>
  <si>
    <t>76600</t>
  </si>
  <si>
    <t>family-protection</t>
  </si>
  <si>
    <t>planetary-romance; action-adventure; ecological-science-fiction</t>
  </si>
  <si>
    <t>epic; immersive; emotional; adventurous</t>
  </si>
  <si>
    <t>https://www.imdb.com/title/tt1630029/</t>
  </si>
  <si>
    <t>https://www.google.com/search?q=Avatar%3A%20The%20Way%20of%20Water%202022%20official%20synopsis</t>
  </si>
  <si>
    <t>A family seeks refuge and fights to protect one another and their adopted world.</t>
  </si>
  <si>
    <t>movie:299536</t>
  </si>
  <si>
    <t>Avengers: Infinity War</t>
  </si>
  <si>
    <t>tt4154756</t>
  </si>
  <si>
    <t>299536</t>
  </si>
  <si>
    <t>sacrifice</t>
  </si>
  <si>
    <t>superhero; ensemble-action; cosmic-adventure</t>
  </si>
  <si>
    <t>epic; intense; suspenseful; tragic</t>
  </si>
  <si>
    <t>https://www.imdb.com/title/tt4154756/</t>
  </si>
  <si>
    <t>https://www.google.com/search?q=Avengers%3A%20Infinity%20War%202018%20official%20synopsis</t>
  </si>
  <si>
    <t>Heroes face catastrophic stakes as they struggle over sacrifice and survival against Thanos.</t>
  </si>
  <si>
    <t>show:89233</t>
  </si>
  <si>
    <t>Away</t>
  </si>
  <si>
    <t>tt8787802</t>
  </si>
  <si>
    <t>89233</t>
  </si>
  <si>
    <t>exploration-sacrifice</t>
  </si>
  <si>
    <t>space-drama; family-drama; science-fiction-drama</t>
  </si>
  <si>
    <t>emotional; inspirational; character-driven; hopeful</t>
  </si>
  <si>
    <t>https://www.imdb.com/title/tt8787802/</t>
  </si>
  <si>
    <t>https://www.google.com/search?q=Away%202020%20official%20synopsis</t>
  </si>
  <si>
    <t>An astronaut leads a Mars mission while managing the personal sacrifices of separation from family.</t>
  </si>
  <si>
    <t>movie:339403</t>
  </si>
  <si>
    <t>Baby Driver</t>
  </si>
  <si>
    <t>2017</t>
  </si>
  <si>
    <t>tt3890160</t>
  </si>
  <si>
    <t>339403</t>
  </si>
  <si>
    <t>escape-from-crime</t>
  </si>
  <si>
    <t>heist-film; crime-thriller; car-chase</t>
  </si>
  <si>
    <t>stylish; energetic; tense; romantic</t>
  </si>
  <si>
    <t>https://www.imdb.com/title/tt3890160/</t>
  </si>
  <si>
    <t>https://www.google.com/search?q=Baby%20Driver%202017%20official%20synopsis</t>
  </si>
  <si>
    <t>A getaway driver tries to leave criminal life behind while protecting a new relationship.</t>
  </si>
  <si>
    <t>show:241259</t>
  </si>
  <si>
    <t>Baby Reindeer</t>
  </si>
  <si>
    <t>tt13649112</t>
  </si>
  <si>
    <t>241259</t>
  </si>
  <si>
    <t>stalking-trauma</t>
  </si>
  <si>
    <t>psychological-drama; dark-comedy; autobiographical-drama</t>
  </si>
  <si>
    <t>unsettling; intimate; dark; confessional</t>
  </si>
  <si>
    <t>https://www.imdb.com/title/tt13649112/</t>
  </si>
  <si>
    <t>https://www.google.com/search?q=Baby%20Reindeer%202024%20official%20synopsis</t>
  </si>
  <si>
    <t>A comedian’s experience with stalking exposes trauma, shame, and destructive attachment.</t>
  </si>
  <si>
    <t>show:130853</t>
  </si>
  <si>
    <t>Bad Monkey</t>
  </si>
  <si>
    <t>tt15203646</t>
  </si>
  <si>
    <t>130853</t>
  </si>
  <si>
    <t>corruption</t>
  </si>
  <si>
    <t>crime-comedy; detective-fiction; tropical-noir</t>
  </si>
  <si>
    <t>witty; irreverent; suspenseful; offbeat</t>
  </si>
  <si>
    <t>https://www.imdb.com/title/tt15203646/</t>
  </si>
  <si>
    <t>https://www.google.com/search?q=Bad%20Monkey%202024%20official%20synopsis</t>
  </si>
  <si>
    <t>A former detective follows a bizarre case into a network of corruption and greed.</t>
  </si>
  <si>
    <t>show:4613</t>
  </si>
  <si>
    <t>Band of Brothers</t>
  </si>
  <si>
    <t>2001</t>
  </si>
  <si>
    <t>tt0185906</t>
  </si>
  <si>
    <t>4613</t>
  </si>
  <si>
    <t>combat-brotherhood</t>
  </si>
  <si>
    <t>world-war-ii</t>
  </si>
  <si>
    <t>military-drama; historical-miniseries; ensemble-drama</t>
  </si>
  <si>
    <t>intense; heroic; somber; immersive</t>
  </si>
  <si>
    <t>https://www.imdb.com/title/tt0185906/</t>
  </si>
  <si>
    <t>https://www.google.com/search?q=Band%20of%20Brothers%202001%20official%20synopsis</t>
  </si>
  <si>
    <t>The series follows one airborne company through combat, emphasizing duty and bonds among soldiers.</t>
  </si>
  <si>
    <t>show:41727</t>
  </si>
  <si>
    <t>Banshee</t>
  </si>
  <si>
    <t>tt2017109</t>
  </si>
  <si>
    <t>41727</t>
  </si>
  <si>
    <t>identity-reinvention</t>
  </si>
  <si>
    <t>neo-noir; action-crime; small-town-crime</t>
  </si>
  <si>
    <t>intense; gritty; pulpy; suspenseful</t>
  </si>
  <si>
    <t>https://www.imdb.com/title/tt2017109/</t>
  </si>
  <si>
    <t>https://www.google.com/search?q=Banshee%202013%20official%20synopsis</t>
  </si>
  <si>
    <t>An ex-con assumes a sheriff’s identity while navigating past crimes and a violent town.</t>
  </si>
  <si>
    <t>movie:346698</t>
  </si>
  <si>
    <t>Barbie</t>
  </si>
  <si>
    <t>tt1517268</t>
  </si>
  <si>
    <t>346698</t>
  </si>
  <si>
    <t>gender-expectations</t>
  </si>
  <si>
    <t>fantasy-comedy; social-satire; adventure-comedy</t>
  </si>
  <si>
    <t>satirical; playful; heartfelt; colorful</t>
  </si>
  <si>
    <t>https://www.imdb.com/title/tt1517268/</t>
  </si>
  <si>
    <t>https://www.themoviedb.org/search?query=Barbie%202023</t>
  </si>
  <si>
    <t>Barbie leaves an idealized world and confronts gender expectations, identity, and human complexity.</t>
  </si>
  <si>
    <t>Batch 02</t>
  </si>
  <si>
    <t>show:73107</t>
  </si>
  <si>
    <t>Barry</t>
  </si>
  <si>
    <t>tt5348176</t>
  </si>
  <si>
    <t>73107</t>
  </si>
  <si>
    <t>violence-and-redemption</t>
  </si>
  <si>
    <t>dark-comedy; crime-comedy; character-study</t>
  </si>
  <si>
    <t>dark; satirical; tense; character-driven</t>
  </si>
  <si>
    <t>https://www.imdb.com/title/tt5348176/</t>
  </si>
  <si>
    <t>https://www.themoviedb.org/search?query=Barry%202018</t>
  </si>
  <si>
    <t>A contract killer seeks a new identity through acting but remains trapped by violence and consequence.</t>
  </si>
  <si>
    <t>show:46786</t>
  </si>
  <si>
    <t>Bates Motel</t>
  </si>
  <si>
    <t>tt2188671</t>
  </si>
  <si>
    <t>46786</t>
  </si>
  <si>
    <t>mental-illness-and-family</t>
  </si>
  <si>
    <t>psychological-horror; family-drama; crime-drama</t>
  </si>
  <si>
    <t>dark; unsettling; atmospheric; character-driven</t>
  </si>
  <si>
    <t>https://www.imdb.com/title/tt2188671/</t>
  </si>
  <si>
    <t>https://www.themoviedb.org/search?query=Bates%20Motel%202013</t>
  </si>
  <si>
    <t>Norman Bates’s deteriorating mental state and dependent relationship with his mother drive the series.</t>
  </si>
  <si>
    <t>show:110173</t>
  </si>
  <si>
    <t>Beartown</t>
  </si>
  <si>
    <t>tt9677638</t>
  </si>
  <si>
    <t>110173</t>
  </si>
  <si>
    <t>community-complicity</t>
  </si>
  <si>
    <t>sports-drama; small-town-drama; social-drama</t>
  </si>
  <si>
    <t>bleak; intense; emotional; character-driven</t>
  </si>
  <si>
    <t>https://www.imdb.com/title/tt9677638/</t>
  </si>
  <si>
    <t>https://www.themoviedb.org/search?query=Beartown%202020</t>
  </si>
  <si>
    <t>A hockey-centered town fractures when loyalty to the team conflicts with accountability for violence.</t>
  </si>
  <si>
    <t>show:249522</t>
  </si>
  <si>
    <t>Beast Games</t>
  </si>
  <si>
    <t>tt31812476</t>
  </si>
  <si>
    <t>249522</t>
  </si>
  <si>
    <t>competition</t>
  </si>
  <si>
    <t>documentary</t>
  </si>
  <si>
    <t>reality-competition; game-show</t>
  </si>
  <si>
    <t>energetic; suspenseful; extravagant</t>
  </si>
  <si>
    <t>https://www.imdb.com/title/tt31812476/</t>
  </si>
  <si>
    <t>https://www.themoviedb.org/search?query=Beast%20Games%202024</t>
  </si>
  <si>
    <t>Contestants compete in large-scale challenges for a major prize.</t>
  </si>
  <si>
    <t>show:154385</t>
  </si>
  <si>
    <t>BEEF</t>
  </si>
  <si>
    <t>tt14403178</t>
  </si>
  <si>
    <t>154385</t>
  </si>
  <si>
    <t>anger-and-escalation</t>
  </si>
  <si>
    <t>dark-comedy; psychological-drama; social-satire</t>
  </si>
  <si>
    <t>dark; tense; satirical; character-driven</t>
  </si>
  <si>
    <t>https://www.imdb.com/title/tt14403178/</t>
  </si>
  <si>
    <t>https://www.themoviedb.org/search?query=BEEF%202023</t>
  </si>
  <si>
    <t>A road-rage encounter becomes an escalating feud that exposes dissatisfaction and self-destruction.</t>
  </si>
  <si>
    <t>show:60059</t>
  </si>
  <si>
    <t>Better Call Saul</t>
  </si>
  <si>
    <t>2015</t>
  </si>
  <si>
    <t>tt3032476</t>
  </si>
  <si>
    <t>60059</t>
  </si>
  <si>
    <t>moral-corruption</t>
  </si>
  <si>
    <t>legal-drama; neo-noir; tragedy</t>
  </si>
  <si>
    <t>slow-burn; character-driven; tense; tragic</t>
  </si>
  <si>
    <t>https://www.imdb.com/title/tt3032476/</t>
  </si>
  <si>
    <t>https://www.themoviedb.org/search?query=Better%20Call%20Saul%202015</t>
  </si>
  <si>
    <t>Jimmy McGill’s compromises transform him into criminal lawyer Saul Goodman.</t>
  </si>
  <si>
    <t>show:66859</t>
  </si>
  <si>
    <t>Better Things</t>
  </si>
  <si>
    <t>tt4370596</t>
  </si>
  <si>
    <t>66859</t>
  </si>
  <si>
    <t>single-parenthood</t>
  </si>
  <si>
    <t>family-comedy; dramedy; slice-of-life</t>
  </si>
  <si>
    <t>warm; candid; bittersweet; character-driven</t>
  </si>
  <si>
    <t>https://www.imdb.com/title/tt4370596/</t>
  </si>
  <si>
    <t>https://www.themoviedb.org/search?query=Better%20Things%202016</t>
  </si>
  <si>
    <t>An actor raises three daughters while balancing work, family, and personal identity.</t>
  </si>
  <si>
    <t>show:39754</t>
  </si>
  <si>
    <t>Between Two Ferns with Zach Galifianakis</t>
  </si>
  <si>
    <t>2008</t>
  </si>
  <si>
    <t>tt1535002</t>
  </si>
  <si>
    <t>39754</t>
  </si>
  <si>
    <t>celebrity-interviews</t>
  </si>
  <si>
    <t>interview-comedy; parody; web-series</t>
  </si>
  <si>
    <t>awkward; deadpan; irreverent; satirical</t>
  </si>
  <si>
    <t>https://www.imdb.com/title/tt1535002/</t>
  </si>
  <si>
    <t>https://www.themoviedb.org/search?query=Between%20Two%20Ferns%20with%20Zach%20Galifianakis%202008</t>
  </si>
  <si>
    <t>Mock-hostile celebrity interviews parody promotional talk-show conventions.</t>
  </si>
  <si>
    <t>show:66292</t>
  </si>
  <si>
    <t>Big Little Lies</t>
  </si>
  <si>
    <t>tt3920596</t>
  </si>
  <si>
    <t>66292</t>
  </si>
  <si>
    <t>domestic-abuse</t>
  </si>
  <si>
    <t>psychological-drama; domestic-mystery; ensemble-drama</t>
  </si>
  <si>
    <t>tense; polished; emotional; atmospheric</t>
  </si>
  <si>
    <t>https://www.imdb.com/title/tt3920596/</t>
  </si>
  <si>
    <t>https://www.themoviedb.org/search?query=Big%20Little%20Lies%202017</t>
  </si>
  <si>
    <t>A homicide investigation reveals abuse, secrecy, and conflict among families in an affluent community.</t>
  </si>
  <si>
    <t>show:62852</t>
  </si>
  <si>
    <t>Billions</t>
  </si>
  <si>
    <t>tt4270492</t>
  </si>
  <si>
    <t>62852</t>
  </si>
  <si>
    <t>wealth-and-power</t>
  </si>
  <si>
    <t>financial-drama; legal-drama; political-drama</t>
  </si>
  <si>
    <t>sharp; tense; cerebral; character-driven</t>
  </si>
  <si>
    <t>https://www.imdb.com/title/tt4270492/</t>
  </si>
  <si>
    <t>https://www.themoviedb.org/search?query=Billions%202016</t>
  </si>
  <si>
    <t>A prosecutor and hedge-fund billionaire wage a strategic struggle over money, influence, and control.</t>
  </si>
  <si>
    <t>movie:405774</t>
  </si>
  <si>
    <t>Bird Box</t>
  </si>
  <si>
    <t>tt2737304</t>
  </si>
  <si>
    <t>405774</t>
  </si>
  <si>
    <t>parental-protection</t>
  </si>
  <si>
    <t>post-apocalyptic; survival-horror; psychological-horror</t>
  </si>
  <si>
    <t>tense; bleak; suspenseful; emotional</t>
  </si>
  <si>
    <t>https://www.imdb.com/title/tt2737304/</t>
  </si>
  <si>
    <t>https://www.themoviedb.org/search?query=Bird%20Box%202018</t>
  </si>
  <si>
    <t>A mother guides two children toward safety from an unseen force that makes sight lethal.</t>
  </si>
  <si>
    <t>show:155537</t>
  </si>
  <si>
    <t>Black Bird</t>
  </si>
  <si>
    <t>tt4301160</t>
  </si>
  <si>
    <t>155537</t>
  </si>
  <si>
    <t>criminal-confession</t>
  </si>
  <si>
    <t>true-crime; prison-drama; psychological-thriller</t>
  </si>
  <si>
    <t>dark; tense; unsettling; character-driven</t>
  </si>
  <si>
    <t>https://www.imdb.com/title/tt4301160/</t>
  </si>
  <si>
    <t>https://www.themoviedb.org/search?query=Black%20Bird%202022</t>
  </si>
  <si>
    <t>A prisoner seeks a suspected serial killer’s confession in exchange for freedom.</t>
  </si>
  <si>
    <t>movie:855</t>
  </si>
  <si>
    <t>Black Hawk Down</t>
  </si>
  <si>
    <t>tt0265086</t>
  </si>
  <si>
    <t>855</t>
  </si>
  <si>
    <t>combat-survival</t>
  </si>
  <si>
    <t>combat-film; military-drama; docudrama</t>
  </si>
  <si>
    <t>intense; immersive; chaotic; gritty</t>
  </si>
  <si>
    <t>https://www.imdb.com/title/tt0265086/</t>
  </si>
  <si>
    <t>https://www.themoviedb.org/search?query=Black%20Hawk%20Down%202001</t>
  </si>
  <si>
    <t>U.S. soldiers struggle to survive and extract their comrades during the 1993 Battle of Mogadishu.</t>
  </si>
  <si>
    <t>movie:261023</t>
  </si>
  <si>
    <t>Black Mass</t>
  </si>
  <si>
    <t>tt1355683</t>
  </si>
  <si>
    <t>261023</t>
  </si>
  <si>
    <t>organized-crime-collusion</t>
  </si>
  <si>
    <t>gangster; true-crime; biography</t>
  </si>
  <si>
    <t>dark; brutal; tense; brooding</t>
  </si>
  <si>
    <t>https://www.imdb.com/title/tt1355683/</t>
  </si>
  <si>
    <t>https://www.themoviedb.org/search?query=Black%20Mass%202015</t>
  </si>
  <si>
    <t>Whitey Bulger exploits his relationship with the FBI to strengthen his criminal power.</t>
  </si>
  <si>
    <t>show:42009</t>
  </si>
  <si>
    <t>Black Mirror</t>
  </si>
  <si>
    <t>tt2085059</t>
  </si>
  <si>
    <t>42009</t>
  </si>
  <si>
    <t>technology-and-society</t>
  </si>
  <si>
    <t>anthology; dystopian-science-fiction; techno-thriller</t>
  </si>
  <si>
    <t>cerebral; unsettling; dark; satirical</t>
  </si>
  <si>
    <t>https://www.imdb.com/title/tt2085059/</t>
  </si>
  <si>
    <t>https://www.themoviedb.org/search?query=Black%20Mirror%202011</t>
  </si>
  <si>
    <t>Standalone stories examine how technology amplifies human behavior and social harm.</t>
  </si>
  <si>
    <t>show:249039</t>
  </si>
  <si>
    <t>Black Rabbit</t>
  </si>
  <si>
    <t>tt23055142</t>
  </si>
  <si>
    <t>249039</t>
  </si>
  <si>
    <t>family-loyalty</t>
  </si>
  <si>
    <t>crime-thriller; family-drama; restaurant-drama</t>
  </si>
  <si>
    <t>tense; dark; character-driven; suspenseful</t>
  </si>
  <si>
    <t>https://www.imdb.com/title/tt23055142/</t>
  </si>
  <si>
    <t>https://www.themoviedb.org/search?query=Black%20Rabbit%202025</t>
  </si>
  <si>
    <t>A successful restaurateur’s loyalty to his troubled brother pulls both into escalating danger.</t>
  </si>
  <si>
    <t>show:116569</t>
  </si>
  <si>
    <t>Black Space</t>
  </si>
  <si>
    <t>tt13660638</t>
  </si>
  <si>
    <t>116569</t>
  </si>
  <si>
    <t>school-shooting-investigation</t>
  </si>
  <si>
    <t>police-procedural; mystery-thriller; serial-drama</t>
  </si>
  <si>
    <t>dark; tense; suspenseful; gritty</t>
  </si>
  <si>
    <t>https://www.imdb.com/title/tt13660638/</t>
  </si>
  <si>
    <t>https://www.themoviedb.org/search?query=Black%20Space%202020</t>
  </si>
  <si>
    <t>A detective investigates a school shooting complicated by masked perpetrators and community secrets.</t>
  </si>
  <si>
    <t>movie:487558</t>
  </si>
  <si>
    <t>BlacKkKlansman</t>
  </si>
  <si>
    <t>tt7349662</t>
  </si>
  <si>
    <t>487558</t>
  </si>
  <si>
    <t>white-supremacy</t>
  </si>
  <si>
    <t>biography; undercover-drama; social-satire</t>
  </si>
  <si>
    <t>satirical; provocative; tense; energetic</t>
  </si>
  <si>
    <t>https://www.imdb.com/title/tt7349662/</t>
  </si>
  <si>
    <t>https://www.themoviedb.org/search?query=BlacKkKlansman%202018</t>
  </si>
  <si>
    <t>A Black detective infiltrates and exposes a local Ku Klux Klan chapter in the 1970s.</t>
  </si>
  <si>
    <t>movie:1372</t>
  </si>
  <si>
    <t>Blood Diamond</t>
  </si>
  <si>
    <t>tt0450259</t>
  </si>
  <si>
    <t>1372</t>
  </si>
  <si>
    <t>conflict-diamonds</t>
  </si>
  <si>
    <t>war-drama; political-thriller; adventure-drama</t>
  </si>
  <si>
    <t>intense; gritty; emotional; suspenseful</t>
  </si>
  <si>
    <t>https://www.imdb.com/title/tt0450259/</t>
  </si>
  <si>
    <t>https://www.themoviedb.org/search?query=Blood%20Diamond%202006</t>
  </si>
  <si>
    <t>A smuggler, fisherman, and journalist confront the human cost of diamonds funding civil war.</t>
  </si>
  <si>
    <t>show:61986</t>
  </si>
  <si>
    <t>Bloodline</t>
  </si>
  <si>
    <t>tt3520702</t>
  </si>
  <si>
    <t>61986</t>
  </si>
  <si>
    <t>family-secrets</t>
  </si>
  <si>
    <t>family-drama; crime-drama; psychological-thriller</t>
  </si>
  <si>
    <t>slow-burn; brooding; tense; atmospheric</t>
  </si>
  <si>
    <t>https://www.imdb.com/title/tt3520702/</t>
  </si>
  <si>
    <t>https://www.themoviedb.org/search?query=Bloodline%202015</t>
  </si>
  <si>
    <t>The return of a troubled sibling exposes buried crimes and fractures a respected family.</t>
  </si>
  <si>
    <t>show:1621</t>
  </si>
  <si>
    <t>Boardwalk Empire</t>
  </si>
  <si>
    <t>2010</t>
  </si>
  <si>
    <t>tt0979432</t>
  </si>
  <si>
    <t>1621</t>
  </si>
  <si>
    <t>political-corruption</t>
  </si>
  <si>
    <t>gangster; period-drama; political-drama</t>
  </si>
  <si>
    <t>atmospheric; gritty; sophisticated; character-driven</t>
  </si>
  <si>
    <t>https://www.imdb.com/title/tt0979432/</t>
  </si>
  <si>
    <t>https://www.themoviedb.org/search?query=Boardwalk%20Empire%202010</t>
  </si>
  <si>
    <t>A political boss controls Prohibition-era Atlantic City through patronage, corruption, and organized crime.</t>
  </si>
  <si>
    <t>movie:424694</t>
  </si>
  <si>
    <t>Bohemian Rhapsody</t>
  </si>
  <si>
    <t>tt1727824</t>
  </si>
  <si>
    <t>424694</t>
  </si>
  <si>
    <t>artistic-legacy</t>
  </si>
  <si>
    <t>music-biography; band-drama; historical-drama</t>
  </si>
  <si>
    <t>uplifting; emotional; energetic; bittersweet</t>
  </si>
  <si>
    <t>https://www.imdb.com/title/tt1727824/</t>
  </si>
  <si>
    <t>https://www.themoviedb.org/search?query=Bohemian%20Rhapsody%202018</t>
  </si>
  <si>
    <t>Queen’s rise and Freddie Mercury’s identity, conflict, and performance legacy shape the story.</t>
  </si>
  <si>
    <t>movie:505600</t>
  </si>
  <si>
    <t>Booksmart</t>
  </si>
  <si>
    <t>tt1489887</t>
  </si>
  <si>
    <t>505600</t>
  </si>
  <si>
    <t>friendship-and-growing-up</t>
  </si>
  <si>
    <t>coming-of-age; teen-comedy; buddy-comedy</t>
  </si>
  <si>
    <t>witty; energetic; heartfelt; playful</t>
  </si>
  <si>
    <t>https://www.imdb.com/title/tt1489887/</t>
  </si>
  <si>
    <t>https://www.themoviedb.org/search?query=Booksmart%202019</t>
  </si>
  <si>
    <t>Two high-achieving friends try to reclaim missed adolescence before graduation.</t>
  </si>
  <si>
    <t>show:42445</t>
  </si>
  <si>
    <t>Borgen</t>
  </si>
  <si>
    <t>tt1526318</t>
  </si>
  <si>
    <t>42445</t>
  </si>
  <si>
    <t>political-leadership</t>
  </si>
  <si>
    <t>political-drama; workplace-drama; ensemble-drama</t>
  </si>
  <si>
    <t>cerebral; realistic; character-driven; tense</t>
  </si>
  <si>
    <t>https://www.imdb.com/title/tt1526318/</t>
  </si>
  <si>
    <t>https://www.themoviedb.org/search?query=Borgen%202010</t>
  </si>
  <si>
    <t>A prime minister navigates governing, compromise, media pressure, and personal cost.</t>
  </si>
  <si>
    <t>show:60585</t>
  </si>
  <si>
    <t>Bosch</t>
  </si>
  <si>
    <t>tt3502248</t>
  </si>
  <si>
    <t>60585</t>
  </si>
  <si>
    <t>pursuit-of-justice</t>
  </si>
  <si>
    <t>police-procedural; detective-fiction; neo-noir</t>
  </si>
  <si>
    <t>gritty; methodical; atmospheric; character-driven</t>
  </si>
  <si>
    <t>https://www.imdb.com/title/tt3502248/</t>
  </si>
  <si>
    <t>https://www.themoviedb.org/search?query=Bosch%202015</t>
  </si>
  <si>
    <t>An LAPD detective pursues difficult cases while navigating institutions and his own history.</t>
  </si>
  <si>
    <t>show:64554</t>
  </si>
  <si>
    <t>BrainDead</t>
  </si>
  <si>
    <t>tt4877736</t>
  </si>
  <si>
    <t>64554</t>
  </si>
  <si>
    <t>political-dysfunction</t>
  </si>
  <si>
    <t>political-satire; science-fiction-comedy; horror-comedy</t>
  </si>
  <si>
    <t>satirical; absurd; witty; offbeat</t>
  </si>
  <si>
    <t>https://www.imdb.com/title/tt4877736/</t>
  </si>
  <si>
    <t>https://www.themoviedb.org/search?query=BrainDead%202016</t>
  </si>
  <si>
    <t>Alien parasites intensify partisan dysfunction inside the U.S. government.</t>
  </si>
  <si>
    <t>show:1396</t>
  </si>
  <si>
    <t>Breaking Bad</t>
  </si>
  <si>
    <t>tt0903747</t>
  </si>
  <si>
    <t>1396</t>
  </si>
  <si>
    <t>drug-crime; neo-western; tragedy</t>
  </si>
  <si>
    <t>dark; intense; suspenseful; character-driven</t>
  </si>
  <si>
    <t>https://www.imdb.com/title/tt0903747/</t>
  </si>
  <si>
    <t>https://www.themoviedb.org/search?query=Breaking%20Bad%202008</t>
  </si>
  <si>
    <t>A chemistry teacher’s criminal enterprise transforms ambition and fear into moral collapse.</t>
  </si>
  <si>
    <t>movie:296098</t>
  </si>
  <si>
    <t>Bridge of Spies</t>
  </si>
  <si>
    <t>tt3682448</t>
  </si>
  <si>
    <t>296098</t>
  </si>
  <si>
    <t>cold-war-negotiation</t>
  </si>
  <si>
    <t>historical-drama; legal-drama; spy-drama</t>
  </si>
  <si>
    <t>cerebral; tense; restrained; principled</t>
  </si>
  <si>
    <t>https://www.imdb.com/title/tt3682448/</t>
  </si>
  <si>
    <t>https://www.themoviedb.org/search?query=Bridge%20of%20Spies%202015</t>
  </si>
  <si>
    <t>A lawyer defends a Soviet spy and negotiates a Cold War prisoner exchange.</t>
  </si>
  <si>
    <t>show:60839</t>
  </si>
  <si>
    <t>Broad City</t>
  </si>
  <si>
    <t>tt2578560</t>
  </si>
  <si>
    <t>60839</t>
  </si>
  <si>
    <t>female-friendship</t>
  </si>
  <si>
    <t>buddy-comedy; city-comedy; sitcom</t>
  </si>
  <si>
    <t>irreverent; energetic; absurd; warm</t>
  </si>
  <si>
    <t>https://www.imdb.com/title/tt2578560/</t>
  </si>
  <si>
    <t>https://www.themoviedb.org/search?query=Broad%20City%202014</t>
  </si>
  <si>
    <t>Two friends navigate work, dating, and everyday chaos in New York City.</t>
  </si>
  <si>
    <t>show:70964</t>
  </si>
  <si>
    <t>Brockmire</t>
  </si>
  <si>
    <t>tt5722190</t>
  </si>
  <si>
    <t>70964</t>
  </si>
  <si>
    <t>addiction-and-recovery</t>
  </si>
  <si>
    <t>sports-comedy; dark-comedy; workplace-comedy</t>
  </si>
  <si>
    <t>raunchy; dark; witty; character-driven</t>
  </si>
  <si>
    <t>https://www.imdb.com/title/tt5722190/</t>
  </si>
  <si>
    <t>https://www.themoviedb.org/search?query=Brockmire%202017</t>
  </si>
  <si>
    <t>A disgraced baseball announcer attempts a comeback while struggling with addiction and self-sabotage.</t>
  </si>
  <si>
    <t>show:48891</t>
  </si>
  <si>
    <t>Brooklyn Nine-Nine</t>
  </si>
  <si>
    <t>tt2467372</t>
  </si>
  <si>
    <t>48891</t>
  </si>
  <si>
    <t>workplace-community</t>
  </si>
  <si>
    <t>workplace-comedy; police-comedy; sitcom</t>
  </si>
  <si>
    <t>warm; witty; optimistic; playful</t>
  </si>
  <si>
    <t>https://www.imdb.com/title/tt2467372/</t>
  </si>
  <si>
    <t>https://www.themoviedb.org/search?query=Brooklyn%20Nine-Nine%202013</t>
  </si>
  <si>
    <t>Detectives and their captain form a supportive, eccentric workplace community in a Brooklyn precinct.</t>
  </si>
  <si>
    <t>movie:701387</t>
  </si>
  <si>
    <t>Bugonia</t>
  </si>
  <si>
    <t>tt12300742</t>
  </si>
  <si>
    <t>701387</t>
  </si>
  <si>
    <t>conspiracy-paranoia</t>
  </si>
  <si>
    <t>dark-comedy; psychological-thriller; alien-satire</t>
  </si>
  <si>
    <t>unsettling; absurd; dark; satirical</t>
  </si>
  <si>
    <t>https://www.imdb.com/title/tt12300742/</t>
  </si>
  <si>
    <t>https://www.themoviedb.org/search?query=Bugonia%202025</t>
  </si>
  <si>
    <t>A conspiracy-driven man kidnaps a CEO he believes is an alien threatening humanity.</t>
  </si>
  <si>
    <t>movie:718930</t>
  </si>
  <si>
    <t>Bullet Train</t>
  </si>
  <si>
    <t>tt12593682</t>
  </si>
  <si>
    <t>718930</t>
  </si>
  <si>
    <t>intersecting-agendas</t>
  </si>
  <si>
    <t>action-comedy; crime-thriller; ensemble-action</t>
  </si>
  <si>
    <t>kinetic; stylish; violent; witty</t>
  </si>
  <si>
    <t>https://www.imdb.com/title/tt12593682/</t>
  </si>
  <si>
    <t>https://www.themoviedb.org/search?query=Bullet%20Train%202022</t>
  </si>
  <si>
    <t>Assassins with conflicting missions converge aboard the same high-speed train.</t>
  </si>
  <si>
    <t>show:1215</t>
  </si>
  <si>
    <t>Californication</t>
  </si>
  <si>
    <t>tt0904208</t>
  </si>
  <si>
    <t>1215</t>
  </si>
  <si>
    <t>self-sabotage</t>
  </si>
  <si>
    <t>dramedy; relationship-comedy; literary-drama</t>
  </si>
  <si>
    <t>raunchy; cynical; bittersweet; character-driven</t>
  </si>
  <si>
    <t>https://www.imdb.com/title/tt0904208/</t>
  </si>
  <si>
    <t>https://www.themoviedb.org/search?query=Californication%202007</t>
  </si>
  <si>
    <t>A writer repeatedly undermines his career, relationships, and efforts to reconnect with family.</t>
  </si>
  <si>
    <t>show:277439</t>
  </si>
  <si>
    <t>Cape Fear</t>
  </si>
  <si>
    <t>2026</t>
  </si>
  <si>
    <t>tt34675596</t>
  </si>
  <si>
    <t>277439</t>
  </si>
  <si>
    <t>psychological-thriller; legal-thriller; family-thriller</t>
  </si>
  <si>
    <t>menacing; tense; dark; suspenseful</t>
  </si>
  <si>
    <t>https://www.imdb.com/title/tt34675596/</t>
  </si>
  <si>
    <t>https://www.themoviedb.org/search?query=Cape%20Fear%202026</t>
  </si>
  <si>
    <t>A released killer targets the married lawyers he blames for his imprisonment.</t>
  </si>
  <si>
    <t>show:71116</t>
  </si>
  <si>
    <t>Castle Rock</t>
  </si>
  <si>
    <t>tt6548228</t>
  </si>
  <si>
    <t>71116</t>
  </si>
  <si>
    <t>intergenerational-trauma</t>
  </si>
  <si>
    <t>psychological-horror; supernatural-mystery; anthology</t>
  </si>
  <si>
    <t>atmospheric; ominous; slow-burn; unsettling</t>
  </si>
  <si>
    <t>https://www.imdb.com/title/tt6548228/</t>
  </si>
  <si>
    <t>https://www.themoviedb.org/search?query=Castle%20Rock%202018</t>
  </si>
  <si>
    <t>Interconnected stories reveal supernatural danger rooted in the town’s recurring trauma and secrets.</t>
  </si>
  <si>
    <t>show:61920</t>
  </si>
  <si>
    <t>Catastrophe</t>
  </si>
  <si>
    <t>tt4374208</t>
  </si>
  <si>
    <t>61920</t>
  </si>
  <si>
    <t>marriage-and-parenthood</t>
  </si>
  <si>
    <t>romantic-comedy; family-comedy; dramedy</t>
  </si>
  <si>
    <t>witty; candid; warm; bittersweet</t>
  </si>
  <si>
    <t>https://www.imdb.com/title/tt4374208/</t>
  </si>
  <si>
    <t>https://www.themoviedb.org/search?query=Catastrophe%202015</t>
  </si>
  <si>
    <t>An unexpected pregnancy pushes two near-strangers into marriage, parenthood, and imperfect partnership.</t>
  </si>
  <si>
    <t>movie:937287</t>
  </si>
  <si>
    <t>Challengers</t>
  </si>
  <si>
    <t>tt16426418</t>
  </si>
  <si>
    <t>937287</t>
  </si>
  <si>
    <t>ambition-and-desire</t>
  </si>
  <si>
    <t>sports-drama; romantic-drama; psychological-drama</t>
  </si>
  <si>
    <t>sensual; tense; energetic; stylish</t>
  </si>
  <si>
    <t>https://www.imdb.com/title/tt16426418/</t>
  </si>
  <si>
    <t>https://www.themoviedb.org/search?query=Challengers%202024</t>
  </si>
  <si>
    <t>Three tennis players’ careers and relationships become entangled through rivalry, desire, and control.</t>
  </si>
  <si>
    <t>show:713</t>
  </si>
  <si>
    <t>Chappelle's Show</t>
  </si>
  <si>
    <t>2003</t>
  </si>
  <si>
    <t>tt0353049</t>
  </si>
  <si>
    <t>713</t>
  </si>
  <si>
    <t>race-and-popular-culture</t>
  </si>
  <si>
    <t>sketch-comedy; social-satire; parody</t>
  </si>
  <si>
    <t>provocative; satirical; irreverent; absurd</t>
  </si>
  <si>
    <t>https://www.imdb.com/title/tt0353049/</t>
  </si>
  <si>
    <t>https://www.themoviedb.org/search?query=Chappelle%27s%20Show%202003</t>
  </si>
  <si>
    <t>Sketches use parody to examine race, celebrity, media, and American culture.</t>
  </si>
  <si>
    <t>show:87108</t>
  </si>
  <si>
    <t>Chernobyl</t>
  </si>
  <si>
    <t>tt7366338</t>
  </si>
  <si>
    <t>87108</t>
  </si>
  <si>
    <t>institutional-deception</t>
  </si>
  <si>
    <t>historical-drama; disaster-drama; docudrama</t>
  </si>
  <si>
    <t>bleak; tense; harrowing; atmospheric</t>
  </si>
  <si>
    <t>https://www.imdb.com/title/tt7366338/</t>
  </si>
  <si>
    <t>https://www.themoviedb.org/search?query=Chernobyl%202019</t>
  </si>
  <si>
    <t>The nuclear disaster and response expose the catastrophic cost of denial and institutional secrecy.</t>
  </si>
  <si>
    <t>movie:9693</t>
  </si>
  <si>
    <t>Children of Men</t>
  </si>
  <si>
    <t>tt0206634</t>
  </si>
  <si>
    <t>9693</t>
  </si>
  <si>
    <t>human-extinction</t>
  </si>
  <si>
    <t>dystopian; political-thriller; survival-drama</t>
  </si>
  <si>
    <t>bleak; immersive; tense; hopeful</t>
  </si>
  <si>
    <t>https://www.imdb.com/title/tt0206634/</t>
  </si>
  <si>
    <t>https://www.themoviedb.org/search?query=Children%20of%20Men%202006</t>
  </si>
  <si>
    <t>Human infertility threatens extinction as one pregnant woman becomes the last hope for the future.</t>
  </si>
  <si>
    <t>movie:921</t>
  </si>
  <si>
    <t>Cinderella Man</t>
  </si>
  <si>
    <t>2005</t>
  </si>
  <si>
    <t>tt0352248</t>
  </si>
  <si>
    <t>921</t>
  </si>
  <si>
    <t>economic-survival</t>
  </si>
  <si>
    <t>interwar</t>
  </si>
  <si>
    <t>sports</t>
  </si>
  <si>
    <t>boxing-drama; biography; historical-drama</t>
  </si>
  <si>
    <t>inspirational; heartfelt; gritty; uplifting</t>
  </si>
  <si>
    <t>https://www.imdb.com/title/tt0352248/</t>
  </si>
  <si>
    <t>https://www.themoviedb.org/search?query=Cinderella%20Man%202005</t>
  </si>
  <si>
    <t>A boxer’s comeback during the Great Depression becomes a means to support his family and restore dignity.</t>
  </si>
  <si>
    <t>movie:929590</t>
  </si>
  <si>
    <t>Civil War</t>
  </si>
  <si>
    <t>tt17279496</t>
  </si>
  <si>
    <t>929590</t>
  </si>
  <si>
    <t>societal-collapse</t>
  </si>
  <si>
    <t>dystopian-war; road-movie; journalism-drama</t>
  </si>
  <si>
    <t>tense; bleak; visceral; unsettling</t>
  </si>
  <si>
    <t>https://www.imdb.com/title/tt17279496/</t>
  </si>
  <si>
    <t>https://www.themoviedb.org/search?query=Civil%20War%202024</t>
  </si>
  <si>
    <t>Journalists cross a fractured United States while civil conflict destroys institutions and public trust.</t>
  </si>
  <si>
    <t>show:129495</t>
  </si>
  <si>
    <t>Clickbait</t>
  </si>
  <si>
    <t>tt10888878</t>
  </si>
  <si>
    <t>129495</t>
  </si>
  <si>
    <t>online-identity</t>
  </si>
  <si>
    <t>mystery-thriller; cyber-thriller; family-drama</t>
  </si>
  <si>
    <t>twisty; tense; suspenseful; dark</t>
  </si>
  <si>
    <t>https://www.imdb.com/title/tt10888878/</t>
  </si>
  <si>
    <t>https://www.themoviedb.org/search?query=Clickbait%202021</t>
  </si>
  <si>
    <t>A viral abduction video exposes hidden online identities, deception, and their real-world consequences.</t>
  </si>
  <si>
    <t>show:59717</t>
  </si>
  <si>
    <t>Comedians in Cars Getting Coffee</t>
  </si>
  <si>
    <t>2012</t>
  </si>
  <si>
    <t>tt2314952</t>
  </si>
  <si>
    <t>59717</t>
  </si>
  <si>
    <t>comedic-craft</t>
  </si>
  <si>
    <t>talk-show; interview-series; comedy-documentary</t>
  </si>
  <si>
    <t>relaxed; witty; conversational; warm</t>
  </si>
  <si>
    <t>https://www.imdb.com/title/tt2314952/</t>
  </si>
  <si>
    <t>https://www.themoviedb.org/search?query=Comedians%20in%20Cars%20Getting%20Coffee%202012</t>
  </si>
  <si>
    <t>Jerry Seinfeld interviews comedians about their lives, careers, and craft during informal outings.</t>
  </si>
  <si>
    <t>movie:974576</t>
  </si>
  <si>
    <t>Conclave</t>
  </si>
  <si>
    <t>tt20215234</t>
  </si>
  <si>
    <t>974576</t>
  </si>
  <si>
    <t>institutional-power</t>
  </si>
  <si>
    <t>political-thriller; religious-drama; chamber-drama</t>
  </si>
  <si>
    <t>cerebral; tense; restrained; atmospheric</t>
  </si>
  <si>
    <t>https://www.imdb.com/title/tt20215234/</t>
  </si>
  <si>
    <t>https://www.themoviedb.org/search?query=Conclave%202024</t>
  </si>
  <si>
    <t>Cardinals choosing a new pope navigate secrecy, ambition, faith, and institutional power.</t>
  </si>
  <si>
    <t>movie:321741</t>
  </si>
  <si>
    <t>Concussion</t>
  </si>
  <si>
    <t>tt3322364</t>
  </si>
  <si>
    <t>321741</t>
  </si>
  <si>
    <t>sports-health-accountability</t>
  </si>
  <si>
    <t>medical-drama; sports-drama; biography</t>
  </si>
  <si>
    <t>serious; principled; tense; inspirational</t>
  </si>
  <si>
    <t>https://www.imdb.com/title/tt3322364/</t>
  </si>
  <si>
    <t>https://www.themoviedb.org/search?query=Concussion%202015</t>
  </si>
  <si>
    <t>A doctor’s research into football-related brain injury confronts institutional resistance.</t>
  </si>
  <si>
    <t>show:99747</t>
  </si>
  <si>
    <t>Conversations with Friends</t>
  </si>
  <si>
    <t>tt11997646</t>
  </si>
  <si>
    <t>99747</t>
  </si>
  <si>
    <t>emotional-infidelity</t>
  </si>
  <si>
    <t>relationship-drama; literary-adaptation; romantic-drama</t>
  </si>
  <si>
    <t>intimate; reflective; melancholic; character-driven</t>
  </si>
  <si>
    <t>https://www.imdb.com/title/tt11997646/</t>
  </si>
  <si>
    <t>https://www.themoviedb.org/search?query=Conversations%20with%20Friends%202022</t>
  </si>
  <si>
    <t>A young woman’s affair with a married man complicates friendship, identity, and emotional boundaries.</t>
  </si>
  <si>
    <t>show:68898</t>
  </si>
  <si>
    <t>Crashing</t>
  </si>
  <si>
    <t>tt5037914</t>
  </si>
  <si>
    <t>68898</t>
  </si>
  <si>
    <t>creative-persistence</t>
  </si>
  <si>
    <t>show-business-comedy; autobiographical-comedy; dramedy</t>
  </si>
  <si>
    <t>witty; awkward; heartfelt; character-driven</t>
  </si>
  <si>
    <t>https://www.imdb.com/title/tt5037914/</t>
  </si>
  <si>
    <t>https://www.themoviedb.org/search?query=Crashing%202017</t>
  </si>
  <si>
    <t>An aspiring comedian rebuilds his life and pursues stand-up after his marriage collapses.</t>
  </si>
  <si>
    <t>movie:312221</t>
  </si>
  <si>
    <t>Creed</t>
  </si>
  <si>
    <t>tt3076658</t>
  </si>
  <si>
    <t>312221</t>
  </si>
  <si>
    <t>legacy-and-self-definition</t>
  </si>
  <si>
    <t>boxing-drama; legacy-sequel; character-drama</t>
  </si>
  <si>
    <t>inspirational; emotional; gritty; character-driven</t>
  </si>
  <si>
    <t>https://www.imdb.com/title/tt3076658/</t>
  </si>
  <si>
    <t>https://www.themoviedb.org/search?query=Creed%202015</t>
  </si>
  <si>
    <t>Adonis Creed pursues boxing greatness while defining himself beyond his father’s legacy.</t>
  </si>
  <si>
    <t>Batch 03</t>
  </si>
  <si>
    <t>movie:480530</t>
  </si>
  <si>
    <t>Creed II</t>
  </si>
  <si>
    <t>tt6343314</t>
  </si>
  <si>
    <t>480530</t>
  </si>
  <si>
    <t>legacy-and-revenge</t>
  </si>
  <si>
    <t>boxing-drama; legacy-sequel; family-drama</t>
  </si>
  <si>
    <t>intense; emotional; inspirational; gritty</t>
  </si>
  <si>
    <t>https://www.imdb.com/title/tt6343314/</t>
  </si>
  <si>
    <t>https://www.themoviedb.org/search?query=Creed%20II%202018</t>
  </si>
  <si>
    <t>Adonis faces the son of the boxer who killed his father, forcing him to confront inherited trauma and revenge.</t>
  </si>
  <si>
    <t>movie:677179</t>
  </si>
  <si>
    <t>Creed III</t>
  </si>
  <si>
    <t>tt11145118</t>
  </si>
  <si>
    <t>677179</t>
  </si>
  <si>
    <t>guilt-and-reconciliation</t>
  </si>
  <si>
    <t>boxing-drama; rivalry-drama; character-drama</t>
  </si>
  <si>
    <t>intense; emotional; stylish; character-driven</t>
  </si>
  <si>
    <t>https://www.imdb.com/title/tt11145118/</t>
  </si>
  <si>
    <t>https://www.themoviedb.org/search?query=Creed%20III%202023</t>
  </si>
  <si>
    <t>A former childhood friend forces Adonis to confront guilt, betrayal, and unresolved history.</t>
  </si>
  <si>
    <t>show:98201</t>
  </si>
  <si>
    <t>Cruel Summer</t>
  </si>
  <si>
    <t>tt11083696</t>
  </si>
  <si>
    <t>98201</t>
  </si>
  <si>
    <t>truth-and-perception</t>
  </si>
  <si>
    <t>teen-thriller; mystery-drama; anthology</t>
  </si>
  <si>
    <t>twisty; tense; nostalgic; suspenseful</t>
  </si>
  <si>
    <t>https://www.imdb.com/title/tt11083696/</t>
  </si>
  <si>
    <t>https://www.themoviedb.org/search?query=Cruel%20Summer%202021</t>
  </si>
  <si>
    <t>Conflicting accounts across multiple timelines challenge what happened and whom to believe.</t>
  </si>
  <si>
    <t>show:4546</t>
  </si>
  <si>
    <t>Curb Your Enthusiasm</t>
  </si>
  <si>
    <t>2000</t>
  </si>
  <si>
    <t>tt0264235</t>
  </si>
  <si>
    <t>4546</t>
  </si>
  <si>
    <t>social-norms</t>
  </si>
  <si>
    <t>situational-comedy; cringe-comedy; satire</t>
  </si>
  <si>
    <t>cringe-inducing; irreverent; witty; awkward</t>
  </si>
  <si>
    <t>https://www.imdb.com/title/tt0264235/</t>
  </si>
  <si>
    <t>https://www.themoviedb.org/search?query=Curb%20Your%20Enthusiasm%202000</t>
  </si>
  <si>
    <t>Everyday social rules and Larry David’s resistance to them create escalating conflict.</t>
  </si>
  <si>
    <t>show:113988</t>
  </si>
  <si>
    <t>DAHMER - Monster: The Jeffrey Dahmer Story</t>
  </si>
  <si>
    <t>tt13207736</t>
  </si>
  <si>
    <t>113988</t>
  </si>
  <si>
    <t>serial-murder-and-systemic-failure</t>
  </si>
  <si>
    <t>true-crime; biographical-drama; limited-series</t>
  </si>
  <si>
    <t>disturbing; bleak; intense; somber</t>
  </si>
  <si>
    <t>https://www.imdb.com/title/tt13207736/</t>
  </si>
  <si>
    <t>https://www.themoviedb.org/search?query=DAHMER%20-%20Monster%3A%20The%20Jeffrey%20Dahmer%20Story%202022</t>
  </si>
  <si>
    <t>The series dramatizes Dahmer’s crimes while emphasizing victims and institutional failures.</t>
  </si>
  <si>
    <t>show:4920</t>
  </si>
  <si>
    <t>Damages</t>
  </si>
  <si>
    <t>tt0914387</t>
  </si>
  <si>
    <t>4920</t>
  </si>
  <si>
    <t>legal-power-struggles</t>
  </si>
  <si>
    <t>legal-thriller; conspiracy-drama; serialized-mystery</t>
  </si>
  <si>
    <t>tense; cerebral; dark; twisty</t>
  </si>
  <si>
    <t>https://www.imdb.com/title/tt0914387/</t>
  </si>
  <si>
    <t>https://www.themoviedb.org/search?query=Damages%202007</t>
  </si>
  <si>
    <t>A ruthless attorney and her protégé navigate high-stakes cases, manipulation, and betrayal.</t>
  </si>
  <si>
    <t>show:202555</t>
  </si>
  <si>
    <t>Daredevil: Born Again</t>
  </si>
  <si>
    <t>tt18923754</t>
  </si>
  <si>
    <t>202555</t>
  </si>
  <si>
    <t>justice-versus-authoritarianism</t>
  </si>
  <si>
    <t>superhero; legal-drama; crime-thriller</t>
  </si>
  <si>
    <t>dark; gritty; intense; suspenseful</t>
  </si>
  <si>
    <t>https://www.imdb.com/title/tt18923754/</t>
  </si>
  <si>
    <t>https://www.themoviedb.org/search?query=Daredevil%3A%20Born%20Again%202025</t>
  </si>
  <si>
    <t>Matt Murdock’s pursuit of justice collides with Wilson Fisk’s political consolidation of power.</t>
  </si>
  <si>
    <t>show:70523</t>
  </si>
  <si>
    <t>Dark</t>
  </si>
  <si>
    <t>tt5753856</t>
  </si>
  <si>
    <t>70523</t>
  </si>
  <si>
    <t>fate-and-free-will</t>
  </si>
  <si>
    <t>time-travel; mystery-drama; family-saga</t>
  </si>
  <si>
    <t>cerebral; ominous; atmospheric; intricate</t>
  </si>
  <si>
    <t>https://www.imdb.com/title/tt5753856/</t>
  </si>
  <si>
    <t>https://www.themoviedb.org/search?query=Dark%202017</t>
  </si>
  <si>
    <t>Interconnected families confront a time-loop that challenges free will and inherited fate.</t>
  </si>
  <si>
    <t>show:196322</t>
  </si>
  <si>
    <t>Dark Matter</t>
  </si>
  <si>
    <t>tt19231492</t>
  </si>
  <si>
    <t>196322</t>
  </si>
  <si>
    <t>alternate-lives</t>
  </si>
  <si>
    <t>parallel-universe; psychological-thriller; mystery-drama</t>
  </si>
  <si>
    <t>cerebral; suspenseful; emotional; twisty</t>
  </si>
  <si>
    <t>https://www.imdb.com/title/tt19231492/</t>
  </si>
  <si>
    <t>https://www.themoviedb.org/search?query=Dark%20Matter%202024</t>
  </si>
  <si>
    <t>A man traverses alternate realities to reclaim his family and chosen life.</t>
  </si>
  <si>
    <t>show:81357</t>
  </si>
  <si>
    <t>Dead to Me</t>
  </si>
  <si>
    <t>tt8064302</t>
  </si>
  <si>
    <t>81357</t>
  </si>
  <si>
    <t>grief-and-forgiveness</t>
  </si>
  <si>
    <t>dark-comedy; friendship-drama; mystery-comedy</t>
  </si>
  <si>
    <t>dark; bittersweet; heartfelt; twisty</t>
  </si>
  <si>
    <t>https://www.imdb.com/title/tt8064302/</t>
  </si>
  <si>
    <t>https://www.themoviedb.org/search?query=Dead%20to%20Me%202019</t>
  </si>
  <si>
    <t>Two grieving women form a friendship complicated by guilt, secrets, and forgiveness.</t>
  </si>
  <si>
    <t>movie:293660</t>
  </si>
  <si>
    <t>Deadpool</t>
  </si>
  <si>
    <t>tt1431045</t>
  </si>
  <si>
    <t>293660</t>
  </si>
  <si>
    <t>identity-and-revenge</t>
  </si>
  <si>
    <t>superhero; action-comedy; origin-story</t>
  </si>
  <si>
    <t>irreverent; violent; witty; fast-paced</t>
  </si>
  <si>
    <t>https://www.imdb.com/title/tt1431045/</t>
  </si>
  <si>
    <t>https://www.themoviedb.org/search?query=Deadpool%202016</t>
  </si>
  <si>
    <t>A disfigured mercenary embraces a new identity while pursuing the man responsible.</t>
  </si>
  <si>
    <t>movie:533535</t>
  </si>
  <si>
    <t>Deadpool &amp; Wolverine</t>
  </si>
  <si>
    <t>tt6263850</t>
  </si>
  <si>
    <t>533535</t>
  </si>
  <si>
    <t>redemption-through-partnership</t>
  </si>
  <si>
    <t>superhero; buddy-action; multiverse-adventure</t>
  </si>
  <si>
    <t>irreverent; energetic; violent; heartfelt</t>
  </si>
  <si>
    <t>https://www.imdb.com/title/tt6263850/</t>
  </si>
  <si>
    <t>https://www.themoviedb.org/search?query=Deadpool%20%26%20Wolverine%202024</t>
  </si>
  <si>
    <t>Two damaged heroes cooperate to save a threatened universe and reclaim purpose.</t>
  </si>
  <si>
    <t>movie:383498</t>
  </si>
  <si>
    <t>Deadpool 2</t>
  </si>
  <si>
    <t>tt5463162</t>
  </si>
  <si>
    <t>383498</t>
  </si>
  <si>
    <t>found-family</t>
  </si>
  <si>
    <t>superhero; action-comedy; time-travel</t>
  </si>
  <si>
    <t>irreverent; violent; heartfelt; energetic</t>
  </si>
  <si>
    <t>https://www.imdb.com/title/tt5463162/</t>
  </si>
  <si>
    <t>https://www.themoviedb.org/search?query=Deadpool%202%202018</t>
  </si>
  <si>
    <t>Deadpool forms an unconventional team while trying to protect a troubled child.</t>
  </si>
  <si>
    <t>show:1406</t>
  </si>
  <si>
    <t>Deadwood</t>
  </si>
  <si>
    <t>tt0348914</t>
  </si>
  <si>
    <t>1406</t>
  </si>
  <si>
    <t>community-formation</t>
  </si>
  <si>
    <t>revisionist-western; historical-drama; ensemble-drama</t>
  </si>
  <si>
    <t>gritty; profane; atmospheric; character-driven</t>
  </si>
  <si>
    <t>https://www.imdb.com/title/tt0348914/</t>
  </si>
  <si>
    <t>https://www.themoviedb.org/search?query=Deadwood%202004</t>
  </si>
  <si>
    <t>A lawless mining camp evolves into a community through competing power, commerce, and governance.</t>
  </si>
  <si>
    <t>movie:296524</t>
  </si>
  <si>
    <t>Deepwater Horizon</t>
  </si>
  <si>
    <t>tt1860357</t>
  </si>
  <si>
    <t>296524</t>
  </si>
  <si>
    <t>industrial-negligence</t>
  </si>
  <si>
    <t>disaster-drama; survival-drama; docudrama</t>
  </si>
  <si>
    <t>intense; harrowing; immersive; heroic</t>
  </si>
  <si>
    <t>https://www.imdb.com/title/tt1860357/</t>
  </si>
  <si>
    <t>https://www.themoviedb.org/search?query=Deepwater%20Horizon%202016</t>
  </si>
  <si>
    <t>The drilling-rig disaster exposes safety failures while workers struggle to survive.</t>
  </si>
  <si>
    <t>show:87784</t>
  </si>
  <si>
    <t>Defending Jacob</t>
  </si>
  <si>
    <t>tt2304589</t>
  </si>
  <si>
    <t>87784</t>
  </si>
  <si>
    <t>parental-loyalty-and-doubt</t>
  </si>
  <si>
    <t>legal-drama; family-thriller; psychological-drama</t>
  </si>
  <si>
    <t>tense; ambiguous; emotional; slow-burn</t>
  </si>
  <si>
    <t>https://www.imdb.com/title/tt2304589/</t>
  </si>
  <si>
    <t>https://www.themoviedb.org/search?query=Defending%20Jacob%202020</t>
  </si>
  <si>
    <t>Parents confront doubt and loyalty after their teenage son is accused of murder.</t>
  </si>
  <si>
    <t>movie:449443</t>
  </si>
  <si>
    <t>Den of Thieves</t>
  </si>
  <si>
    <t>tt1259528</t>
  </si>
  <si>
    <t>449443</t>
  </si>
  <si>
    <t>law-and-criminality</t>
  </si>
  <si>
    <t>heist-film; police-thriller; action-crime</t>
  </si>
  <si>
    <t>gritty; intense; tense; macho</t>
  </si>
  <si>
    <t>https://www.imdb.com/title/tt1259528/</t>
  </si>
  <si>
    <t>https://www.themoviedb.org/search?query=Den%20of%20Thieves%202018</t>
  </si>
  <si>
    <t>A sheriff’s unit and an elite robbery crew mirror one another during a Federal Reserve heist.</t>
  </si>
  <si>
    <t>show:69866</t>
  </si>
  <si>
    <t>Detroiters</t>
  </si>
  <si>
    <t>tt4779762</t>
  </si>
  <si>
    <t>69866</t>
  </si>
  <si>
    <t>friendship-and-ambition</t>
  </si>
  <si>
    <t>workplace-comedy; buddy-comedy; city-comedy</t>
  </si>
  <si>
    <t>warm; absurd; optimistic; witty</t>
  </si>
  <si>
    <t>https://www.imdb.com/title/tt4779762/</t>
  </si>
  <si>
    <t>https://www.themoviedb.org/search?query=Detroiters%202017</t>
  </si>
  <si>
    <t>Best friends pursue advertising success while celebrating their city and partnership.</t>
  </si>
  <si>
    <t>show:81349</t>
  </si>
  <si>
    <t>Devs</t>
  </si>
  <si>
    <t>tt8134186</t>
  </si>
  <si>
    <t>81349</t>
  </si>
  <si>
    <t>determinism-and-free-will</t>
  </si>
  <si>
    <t>techno-thriller; philosophical-drama; mystery</t>
  </si>
  <si>
    <t>cerebral; atmospheric; ominous; slow-burn</t>
  </si>
  <si>
    <t>https://www.imdb.com/title/tt8134186/</t>
  </si>
  <si>
    <t>https://www.themoviedb.org/search?query=Devs%202020</t>
  </si>
  <si>
    <t>A secret quantum-computing project raises questions about determinism, reality, and choice.</t>
  </si>
  <si>
    <t>show:1405</t>
  </si>
  <si>
    <t>Dexter</t>
  </si>
  <si>
    <t>tt0773262</t>
  </si>
  <si>
    <t>1405</t>
  </si>
  <si>
    <t>vigilante-morality</t>
  </si>
  <si>
    <t>serial-killer-drama; police-procedural; psychological-thriller</t>
  </si>
  <si>
    <t>dark; suspenseful; sardonic; character-driven</t>
  </si>
  <si>
    <t>https://www.imdb.com/title/tt0773262/</t>
  </si>
  <si>
    <t>https://www.themoviedb.org/search?query=Dexter%202006</t>
  </si>
  <si>
    <t>A forensic analyst secretly kills criminals while managing identity, morality, and detection.</t>
  </si>
  <si>
    <t>show:131927</t>
  </si>
  <si>
    <t>Dexter: New Blood</t>
  </si>
  <si>
    <t>tt14164730</t>
  </si>
  <si>
    <t>131927</t>
  </si>
  <si>
    <t>inherited-violence</t>
  </si>
  <si>
    <t>serial-killer-drama; family-drama; mystery</t>
  </si>
  <si>
    <t>dark; tense; wintry; character-driven</t>
  </si>
  <si>
    <t>https://www.imdb.com/title/tt14164730/</t>
  </si>
  <si>
    <t>https://www.themoviedb.org/search?query=Dexter%3A%20New%20Blood%202021</t>
  </si>
  <si>
    <t>Dexter’s hidden violent identity resurfaces as his son returns and mirrors his darkness.</t>
  </si>
  <si>
    <t>show:259909</t>
  </si>
  <si>
    <t>Dexter: Resurrection</t>
  </si>
  <si>
    <t>tt33043892</t>
  </si>
  <si>
    <t>259909</t>
  </si>
  <si>
    <t>redemption-and-consequence</t>
  </si>
  <si>
    <t>dark; suspenseful; character-driven; brooding</t>
  </si>
  <si>
    <t>https://www.imdb.com/title/tt33043892/</t>
  </si>
  <si>
    <t>https://www.themoviedb.org/search?query=Dexter%3A%20Resurrection%202025</t>
  </si>
  <si>
    <t>Dexter seeks Harrison and reconciliation while his past and crimes close in.</t>
  </si>
  <si>
    <t>show:83251</t>
  </si>
  <si>
    <t>Dirty John</t>
  </si>
  <si>
    <t>tt7945720</t>
  </si>
  <si>
    <t>83251</t>
  </si>
  <si>
    <t>coercive-control</t>
  </si>
  <si>
    <t>true-crime; anthology; domestic-thriller</t>
  </si>
  <si>
    <t>dark; tense; unsettling; suspenseful</t>
  </si>
  <si>
    <t>https://www.imdb.com/title/tt7945720/</t>
  </si>
  <si>
    <t>https://www.themoviedb.org/search?query=Dirty%20John%202018</t>
  </si>
  <si>
    <t>Intimate relationships become vehicles for deception, manipulation, and abuse.</t>
  </si>
  <si>
    <t>show:147050</t>
  </si>
  <si>
    <t>Disclaimer</t>
  </si>
  <si>
    <t>tt16294384</t>
  </si>
  <si>
    <t>147050</t>
  </si>
  <si>
    <t>secrets-and-judgment</t>
  </si>
  <si>
    <t>psychological-thriller; literary-mystery; limited-series</t>
  </si>
  <si>
    <t>cerebral; unsettling; slow-burn; tense</t>
  </si>
  <si>
    <t>https://www.imdb.com/title/tt16294384/</t>
  </si>
  <si>
    <t>https://www.themoviedb.org/search?query=Disclaimer%202024</t>
  </si>
  <si>
    <t>A publication exposing a hidden past destabilizes a journalist’s life and moral certainty.</t>
  </si>
  <si>
    <t>show:63593</t>
  </si>
  <si>
    <t>Documentary Now!</t>
  </si>
  <si>
    <t>tt4677934</t>
  </si>
  <si>
    <t>63593</t>
  </si>
  <si>
    <t>documentary-form-parody</t>
  </si>
  <si>
    <t>mockumentary; anthology; parody</t>
  </si>
  <si>
    <t>deadpan; satirical; meticulous; absurd</t>
  </si>
  <si>
    <t>https://www.imdb.com/title/tt4677934/</t>
  </si>
  <si>
    <t>https://www.themoviedb.org/search?query=Documentary%20Now%21%202015</t>
  </si>
  <si>
    <t>Each episode parodies a recognizable documentary style, subject, or filmmaking convention.</t>
  </si>
  <si>
    <t>show:123377</t>
  </si>
  <si>
    <t>DOM</t>
  </si>
  <si>
    <t>tt13354188</t>
  </si>
  <si>
    <t>123377</t>
  </si>
  <si>
    <t>addiction-and-family</t>
  </si>
  <si>
    <t>biographical-drama; drug-crime; family-drama</t>
  </si>
  <si>
    <t>gritty; emotional; intense; tragic</t>
  </si>
  <si>
    <t>https://www.imdb.com/title/tt13354188/</t>
  </si>
  <si>
    <t>https://www.themoviedb.org/search?query=DOM%202021</t>
  </si>
  <si>
    <t>A father’s fight against drugs collides with his son’s addiction and criminal life.</t>
  </si>
  <si>
    <t>show:209876</t>
  </si>
  <si>
    <t>Dope Thief</t>
  </si>
  <si>
    <t>tt21638826</t>
  </si>
  <si>
    <t>209876</t>
  </si>
  <si>
    <t>criminal-consequences</t>
  </si>
  <si>
    <t>drug-crime; heist-thriller; character-drama</t>
  </si>
  <si>
    <t>gritty; tense; suspenseful; character-driven</t>
  </si>
  <si>
    <t>https://www.imdb.com/title/tt21638826/</t>
  </si>
  <si>
    <t>https://www.themoviedb.org/search?query=Dope%20Thief%202025</t>
  </si>
  <si>
    <t>Two friends posing as federal agents rob the wrong drug operation and face escalating consequences.</t>
  </si>
  <si>
    <t>show:110695</t>
  </si>
  <si>
    <t>Dopesick</t>
  </si>
  <si>
    <t>tt9174558</t>
  </si>
  <si>
    <t>110695</t>
  </si>
  <si>
    <t>opioid-epidemic</t>
  </si>
  <si>
    <t>medical-drama; corporate-drama; docudrama</t>
  </si>
  <si>
    <t>serious; enraging; emotional; character-driven</t>
  </si>
  <si>
    <t>https://www.imdb.com/title/tt9174558/</t>
  </si>
  <si>
    <t>https://www.themoviedb.org/search?query=Dopesick%202021</t>
  </si>
  <si>
    <t>Interwoven stories trace the marketing, regulation, addiction, and legal consequences of OxyContin.</t>
  </si>
  <si>
    <t>show:93749</t>
  </si>
  <si>
    <t>Dr. Death</t>
  </si>
  <si>
    <t>tt9179552</t>
  </si>
  <si>
    <t>93749</t>
  </si>
  <si>
    <t>medical-abuse</t>
  </si>
  <si>
    <t>true-crime; medical-thriller; anthology</t>
  </si>
  <si>
    <t>disturbing; tense; procedural; serious</t>
  </si>
  <si>
    <t>https://www.imdb.com/title/tt9179552/</t>
  </si>
  <si>
    <t>https://www.themoviedb.org/search?query=Dr.%20Death%202021</t>
  </si>
  <si>
    <t>Medical professionals expose physicians whose misconduct causes severe patient harm.</t>
  </si>
  <si>
    <t>movie:64690</t>
  </si>
  <si>
    <t>Drive</t>
  </si>
  <si>
    <t>tt0780504</t>
  </si>
  <si>
    <t>64690</t>
  </si>
  <si>
    <t>escape-from-criminality</t>
  </si>
  <si>
    <t>neo-noir; getaway-driver; romantic-thriller</t>
  </si>
  <si>
    <t>stylish; brooding; tense; atmospheric</t>
  </si>
  <si>
    <t>https://www.imdb.com/title/tt0780504/</t>
  </si>
  <si>
    <t>https://www.themoviedb.org/search?query=Drive%202011</t>
  </si>
  <si>
    <t>A getaway driver’s attempt to protect a woman and child draws him deeper into violence.</t>
  </si>
  <si>
    <t>movie:8467</t>
  </si>
  <si>
    <t>Dumb and Dumber</t>
  </si>
  <si>
    <t>1994</t>
  </si>
  <si>
    <t>tt0109686</t>
  </si>
  <si>
    <t>8467</t>
  </si>
  <si>
    <t>friendship</t>
  </si>
  <si>
    <t>road-comedy; buddy-comedy; slapstick</t>
  </si>
  <si>
    <t>absurd; lighthearted; goofy; energetic</t>
  </si>
  <si>
    <t>https://www.imdb.com/title/tt0109686/</t>
  </si>
  <si>
    <t>https://www.themoviedb.org/search?query=Dumb%20and%20Dumber%201994</t>
  </si>
  <si>
    <t>Two well-meaning friends undertake a chaotic cross-country journey.</t>
  </si>
  <si>
    <t>movie:438631</t>
  </si>
  <si>
    <t>Dune</t>
  </si>
  <si>
    <t>tt1160419</t>
  </si>
  <si>
    <t>438631</t>
  </si>
  <si>
    <t>power-and-destiny</t>
  </si>
  <si>
    <t>space-opera; political-epic; coming-of-age</t>
  </si>
  <si>
    <t>epic; atmospheric; cerebral; ominous</t>
  </si>
  <si>
    <t>https://www.imdb.com/title/tt1160419/</t>
  </si>
  <si>
    <t>https://www.themoviedb.org/search?query=Dune%202021</t>
  </si>
  <si>
    <t>A gifted heir becomes entangled in imperial politics, prophecy, and control of a vital world.</t>
  </si>
  <si>
    <t>movie:374720</t>
  </si>
  <si>
    <t>Dunkirk</t>
  </si>
  <si>
    <t>tt5013056</t>
  </si>
  <si>
    <t>374720</t>
  </si>
  <si>
    <t>wartime-survival</t>
  </si>
  <si>
    <t>survival-drama; historical-drama; ensemble-war</t>
  </si>
  <si>
    <t>tense; immersive; restrained; harrowing</t>
  </si>
  <si>
    <t>https://www.imdb.com/title/tt5013056/</t>
  </si>
  <si>
    <t>https://www.themoviedb.org/search?query=Dunkirk%202017</t>
  </si>
  <si>
    <t>Soldiers, pilots, and civilians converge in the evacuation of Allied troops from Dunkirk.</t>
  </si>
  <si>
    <t>show:299167</t>
  </si>
  <si>
    <t>Dutton Ranch</t>
  </si>
  <si>
    <t>tt34991493</t>
  </si>
  <si>
    <t>299167</t>
  </si>
  <si>
    <t>rebuilding-family-legacy</t>
  </si>
  <si>
    <t>neo-western; family-drama; ranch-drama</t>
  </si>
  <si>
    <t>gritty; intense; character-driven; rugged</t>
  </si>
  <si>
    <t>https://www.imdb.com/title/tt34991493/</t>
  </si>
  <si>
    <t>https://www.themoviedb.org/search?query=Dutton%20Ranch%202026</t>
  </si>
  <si>
    <t>Beth and Rip try to build a new ranch and future while confronting a rival empire.</t>
  </si>
  <si>
    <t>show:226285</t>
  </si>
  <si>
    <t>Elsbeth</t>
  </si>
  <si>
    <t>tt26591110</t>
  </si>
  <si>
    <t>226285</t>
  </si>
  <si>
    <t>unconventional-detection</t>
  </si>
  <si>
    <t>howcatchem; police-procedural; comedy-drama</t>
  </si>
  <si>
    <t>witty; colorful; clever; lighthearted</t>
  </si>
  <si>
    <t>https://www.imdb.com/title/tt26591110/</t>
  </si>
  <si>
    <t>https://www.themoviedb.org/search?query=Elsbeth%202024</t>
  </si>
  <si>
    <t>An unconventional legal mind helps solve murders by noticing behavior others overlook.</t>
  </si>
  <si>
    <t>movie:614934</t>
  </si>
  <si>
    <t>Elvis</t>
  </si>
  <si>
    <t>tt3704428</t>
  </si>
  <si>
    <t>614934</t>
  </si>
  <si>
    <t>fame-and-exploitation</t>
  </si>
  <si>
    <t>music-biography; historical-drama; show-business-drama</t>
  </si>
  <si>
    <t>energetic; stylish; tragic; nostalgic</t>
  </si>
  <si>
    <t>https://www.imdb.com/title/tt3704428/</t>
  </si>
  <si>
    <t>https://www.themoviedb.org/search?query=Elvis%202022</t>
  </si>
  <si>
    <t>Elvis Presley’s rise and artistry are shaped and constrained by fame and managerial exploitation.</t>
  </si>
  <si>
    <t>movie:1583500</t>
  </si>
  <si>
    <t>Elway</t>
  </si>
  <si>
    <t>tt35295747</t>
  </si>
  <si>
    <t>1583500</t>
  </si>
  <si>
    <t>athletic-legacy</t>
  </si>
  <si>
    <t>sports-documentary; biography</t>
  </si>
  <si>
    <t>reflective; inspirational; nostalgic</t>
  </si>
  <si>
    <t>https://www.imdb.com/title/tt35295747/</t>
  </si>
  <si>
    <t>https://www.themoviedb.org/search?query=Elway%202025</t>
  </si>
  <si>
    <t>The documentary examines John Elway’s football career, achievements, and lasting legacy.</t>
  </si>
  <si>
    <t>show:82596</t>
  </si>
  <si>
    <t>Emily in Paris</t>
  </si>
  <si>
    <t>tt8962124</t>
  </si>
  <si>
    <t>82596</t>
  </si>
  <si>
    <t>career-and-romance-abroad</t>
  </si>
  <si>
    <t>romantic-comedy; workplace-comedy; fish-out-of-water</t>
  </si>
  <si>
    <t>lighthearted; colorful; playful; aspirational</t>
  </si>
  <si>
    <t>https://www.imdb.com/title/tt8962124/</t>
  </si>
  <si>
    <t>https://www.themoviedb.org/search?query=Emily%20in%20Paris%202020</t>
  </si>
  <si>
    <t>An American marketer adapts to work, friendships, and romance after moving to Paris.</t>
  </si>
  <si>
    <t>show:1940</t>
  </si>
  <si>
    <t>Entourage</t>
  </si>
  <si>
    <t>tt0387199</t>
  </si>
  <si>
    <t>1940</t>
  </si>
  <si>
    <t>fame-and-friendship</t>
  </si>
  <si>
    <t>show-business-comedy; buddy-comedy; satire</t>
  </si>
  <si>
    <t>slick; witty; aspirational; irreverent</t>
  </si>
  <si>
    <t>https://www.imdb.com/title/tt0387199/</t>
  </si>
  <si>
    <t>https://www.themoviedb.org/search?query=Entourage%202004</t>
  </si>
  <si>
    <t>A movie star and his longtime friends navigate Hollywood success and excess.</t>
  </si>
  <si>
    <t>show:85552</t>
  </si>
  <si>
    <t>Euphoria</t>
  </si>
  <si>
    <t>tt8772296</t>
  </si>
  <si>
    <t>85552</t>
  </si>
  <si>
    <t>adolescent-trauma-and-addiction</t>
  </si>
  <si>
    <t>teen-drama; psychological-drama; ensemble-drama</t>
  </si>
  <si>
    <t>intense; stylized; dark; emotional</t>
  </si>
  <si>
    <t>https://www.imdb.com/title/tt8772296/</t>
  </si>
  <si>
    <t>https://www.themoviedb.org/search?query=Euphoria%202019</t>
  </si>
  <si>
    <t>Teenagers confront addiction, identity, relationships, and trauma.</t>
  </si>
  <si>
    <t>movie:545611</t>
  </si>
  <si>
    <t>Everything Everywhere All at Once</t>
  </si>
  <si>
    <t>tt6710474</t>
  </si>
  <si>
    <t>545611</t>
  </si>
  <si>
    <t>family-acceptance</t>
  </si>
  <si>
    <t>multiverse; absurdist-comedy; family-drama</t>
  </si>
  <si>
    <t>surreal; energetic; heartfelt; existential</t>
  </si>
  <si>
    <t>https://www.imdb.com/title/tt6710474/</t>
  </si>
  <si>
    <t>https://www.themoviedb.org/search?query=Everything%20Everywhere%20All%20at%20Once%202022</t>
  </si>
  <si>
    <t>A multiverse crisis externalizes an immigrant mother’s struggle to understand and accept her family.</t>
  </si>
  <si>
    <t>show:86848</t>
  </si>
  <si>
    <t>Evil</t>
  </si>
  <si>
    <t>tt9055008</t>
  </si>
  <si>
    <t>86848</t>
  </si>
  <si>
    <t>faith-versus-rationality</t>
  </si>
  <si>
    <t>supernatural-horror; procedural; psychological-mystery</t>
  </si>
  <si>
    <t>creepy; cerebral; atmospheric; suspenseful</t>
  </si>
  <si>
    <t>https://www.imdb.com/title/tt9055008/</t>
  </si>
  <si>
    <t>https://www.themoviedb.org/search?query=Evil%202019</t>
  </si>
  <si>
    <t>Investigators assess alleged supernatural events while testing boundaries between belief and explanation.</t>
  </si>
  <si>
    <t>movie:264660</t>
  </si>
  <si>
    <t>Ex Machina</t>
  </si>
  <si>
    <t>tt0470752</t>
  </si>
  <si>
    <t>264660</t>
  </si>
  <si>
    <t>artificial-consciousness-and-control</t>
  </si>
  <si>
    <t>techno-thriller; chamber-drama; psychological-thriller</t>
  </si>
  <si>
    <t>cerebral; tense; minimalist; unsettling</t>
  </si>
  <si>
    <t>https://www.imdb.com/title/tt0470752/</t>
  </si>
  <si>
    <t>https://www.themoviedb.org/search?query=Ex%20Machina%202015</t>
  </si>
  <si>
    <t>A programmer evaluates an artificial intelligence while hidden motives expose control and manipulation.</t>
  </si>
  <si>
    <t>movie:911430</t>
  </si>
  <si>
    <t>F1</t>
  </si>
  <si>
    <t>tt16311594</t>
  </si>
  <si>
    <t>911430</t>
  </si>
  <si>
    <t>career-redemption</t>
  </si>
  <si>
    <t>auto-racing; comeback-drama; team-drama</t>
  </si>
  <si>
    <t>energetic; inspirational; intense; polished</t>
  </si>
  <si>
    <t>https://www.imdb.com/title/tt16311594/</t>
  </si>
  <si>
    <t>https://www.themoviedb.org/search?query=F1%202025</t>
  </si>
  <si>
    <t>A veteran driver returns to Formula One to help save an underdog team.</t>
  </si>
  <si>
    <t>show:207841</t>
  </si>
  <si>
    <t>Fakes</t>
  </si>
  <si>
    <t>tt15764684</t>
  </si>
  <si>
    <t>207841</t>
  </si>
  <si>
    <t>counterfeit-empire</t>
  </si>
  <si>
    <t>crime-comedy; teen-comedy; friendship-drama</t>
  </si>
  <si>
    <t>witty; energetic; irreverent; twisty</t>
  </si>
  <si>
    <t>https://www.imdb.com/title/tt15764684/</t>
  </si>
  <si>
    <t>https://www.themoviedb.org/search?query=Fakes%202022</t>
  </si>
  <si>
    <t>Teenage friends build a counterfeit-ID operation that strains trust and loyalty.</t>
  </si>
  <si>
    <t>show:34967</t>
  </si>
  <si>
    <t>Falling Skies</t>
  </si>
  <si>
    <t>tt1462059</t>
  </si>
  <si>
    <t>34967</t>
  </si>
  <si>
    <t>resistance-and-survival</t>
  </si>
  <si>
    <t>alien-invasion; post-apocalyptic; resistance-drama</t>
  </si>
  <si>
    <t>tense; hopeful; adventurous; character-driven</t>
  </si>
  <si>
    <t>https://www.imdb.com/title/tt1462059/</t>
  </si>
  <si>
    <t>https://www.themoviedb.org/search?query=Falling%20Skies%202011</t>
  </si>
  <si>
    <t>Survivors organize armed resistance after an alien invasion devastates Earth.</t>
  </si>
  <si>
    <t>show:106379</t>
  </si>
  <si>
    <t>Fallout</t>
  </si>
  <si>
    <t>tt12637874</t>
  </si>
  <si>
    <t>106379</t>
  </si>
  <si>
    <t>survival-and-power</t>
  </si>
  <si>
    <t>post-apocalyptic; retrofuturism; dark-comedy</t>
  </si>
  <si>
    <t>dark; satirical; violent; adventurous</t>
  </si>
  <si>
    <t>https://www.imdb.com/title/tt12637874/</t>
  </si>
  <si>
    <t>https://www.themoviedb.org/search?query=Fallout%202024</t>
  </si>
  <si>
    <t>Vault dwellers and wasteland survivors navigate competing powers after nuclear civilization collapse.</t>
  </si>
  <si>
    <t>show:211624</t>
  </si>
  <si>
    <t>Families Like Ours</t>
  </si>
  <si>
    <t>tt12963502</t>
  </si>
  <si>
    <t>211624</t>
  </si>
  <si>
    <t>climate-displacement</t>
  </si>
  <si>
    <t>climate-fiction; family-drama; dystopian</t>
  </si>
  <si>
    <t>emotional; somber; intimate; realistic</t>
  </si>
  <si>
    <t>https://www.imdb.com/title/tt12963502/</t>
  </si>
  <si>
    <t>https://www.themoviedb.org/search?query=Families%20Like%20Ours%202024</t>
  </si>
  <si>
    <t>Rising seas force Denmark’s population to evacuate, turning families into displaced migrants.</t>
  </si>
  <si>
    <t>show:60622</t>
  </si>
  <si>
    <t>Fargo</t>
  </si>
  <si>
    <t>tt2802850</t>
  </si>
  <si>
    <t>60622</t>
  </si>
  <si>
    <t>greed-and-moral-collapse</t>
  </si>
  <si>
    <t>anthology; black-comedy; neo-noir</t>
  </si>
  <si>
    <t>dark; quirky; tense; atmospheric</t>
  </si>
  <si>
    <t>https://www.imdb.com/title/tt2802850/</t>
  </si>
  <si>
    <t>https://www.themoviedb.org/search?query=Fargo%202014</t>
  </si>
  <si>
    <t>Ordinary ambition and greed trigger escalating crime and moral collapse across interconnected stories.</t>
  </si>
  <si>
    <t>show:99610</t>
  </si>
  <si>
    <t>Feel Good</t>
  </si>
  <si>
    <t>tt10098620</t>
  </si>
  <si>
    <t>99610</t>
  </si>
  <si>
    <t>addiction-and-intimacy</t>
  </si>
  <si>
    <t>romantic-dramedy; autobiographical-comedy; relationship-drama</t>
  </si>
  <si>
    <t>intimate; witty; bittersweet; candid</t>
  </si>
  <si>
    <t>https://www.imdb.com/title/tt10098620/</t>
  </si>
  <si>
    <t>https://www.themoviedb.org/search?query=Feel%20Good%202020</t>
  </si>
  <si>
    <t>A comedian navigates recovery, identity, and an intense new relationship.</t>
  </si>
  <si>
    <t>Batch 04</t>
  </si>
  <si>
    <t>show:87049</t>
  </si>
  <si>
    <t>Firefly Lane</t>
  </si>
  <si>
    <t>tt9012876</t>
  </si>
  <si>
    <t>87049</t>
  </si>
  <si>
    <t>lifelong-friendship</t>
  </si>
  <si>
    <t>friendship-drama; family-drama; romantic-drama</t>
  </si>
  <si>
    <t>emotional; nostalgic; heartfelt; bittersweet</t>
  </si>
  <si>
    <t>https://www.imdb.com/title/tt9012876/</t>
  </si>
  <si>
    <t>https://www.themoviedb.org/search?query=Firefly%20Lane%202021</t>
  </si>
  <si>
    <t>Two women sustain a complicated friendship across decades of personal change.</t>
  </si>
  <si>
    <t>show:108664</t>
  </si>
  <si>
    <t>Five Days at Memorial</t>
  </si>
  <si>
    <t>tt3283594</t>
  </si>
  <si>
    <t>108664</t>
  </si>
  <si>
    <t>disaster-medical-ethics</t>
  </si>
  <si>
    <t>medical-drama; disaster-drama; docudrama</t>
  </si>
  <si>
    <t>harrowing; tense; serious; claustrophobic</t>
  </si>
  <si>
    <t>https://www.imdb.com/title/tt3283594/</t>
  </si>
  <si>
    <t>https://www.themoviedb.org/search?query=Five%20Days%20at%20Memorial%202022</t>
  </si>
  <si>
    <t>Hospital staff face evacuation, triage, and ethical decisions after Hurricane Katrina.</t>
  </si>
  <si>
    <t>movie:507089</t>
  </si>
  <si>
    <t>Five Nights at Freddy's</t>
  </si>
  <si>
    <t>tt4589218</t>
  </si>
  <si>
    <t>507089</t>
  </si>
  <si>
    <t>surviving-haunted-animatronics</t>
  </si>
  <si>
    <t>supernatural-horror; survival-horror; video-game-adaptation</t>
  </si>
  <si>
    <t>creepy; suspenseful; atmospheric; dark</t>
  </si>
  <si>
    <t>https://www.imdb.com/title/tt4589218/</t>
  </si>
  <si>
    <t>https://www.themoviedb.org/search?query=Five%20Nights%20at%20Freddy%27s%202023</t>
  </si>
  <si>
    <t>A night guard must survive lethal animatronic figures in an abandoned family restaurant.</t>
  </si>
  <si>
    <t>show:67070</t>
  </si>
  <si>
    <t>Fleabag</t>
  </si>
  <si>
    <t>tt5687612</t>
  </si>
  <si>
    <t>67070</t>
  </si>
  <si>
    <t>grief-and-self-sabotage</t>
  </si>
  <si>
    <t>dark-comedy; dramedy; character-study</t>
  </si>
  <si>
    <t>witty; intimate; bittersweet; irreverent</t>
  </si>
  <si>
    <t>https://www.imdb.com/title/tt5687612/</t>
  </si>
  <si>
    <t>https://www.themoviedb.org/search?query=Fleabag%202016</t>
  </si>
  <si>
    <t>A grieving woman uses humor and reckless behavior while struggling with loss and connection.</t>
  </si>
  <si>
    <t>show:87917</t>
  </si>
  <si>
    <t>For All Mankind</t>
  </si>
  <si>
    <t>tt7772588</t>
  </si>
  <si>
    <t>87917</t>
  </si>
  <si>
    <t>space-race-ambition</t>
  </si>
  <si>
    <t>alternate-history; space-drama; political-drama</t>
  </si>
  <si>
    <t>epic; inspirational; character-driven; tense</t>
  </si>
  <si>
    <t>https://www.imdb.com/title/tt7772588/</t>
  </si>
  <si>
    <t>https://www.themoviedb.org/search?query=For%20All%20Mankind%202019</t>
  </si>
  <si>
    <t>An alternate space race reshapes national competition, technology, and personal sacrifice.</t>
  </si>
  <si>
    <t>movie:359724</t>
  </si>
  <si>
    <t>Ford v Ferrari</t>
  </si>
  <si>
    <t>tt1950186</t>
  </si>
  <si>
    <t>359724</t>
  </si>
  <si>
    <t>innovation-versus-bureaucracy</t>
  </si>
  <si>
    <t>auto-racing; biography; engineering-drama</t>
  </si>
  <si>
    <t>energetic; inspirational; intense; character-driven</t>
  </si>
  <si>
    <t>https://www.imdb.com/title/tt1950186/</t>
  </si>
  <si>
    <t>https://www.themoviedb.org/search?query=Ford%20v%20Ferrari%202019</t>
  </si>
  <si>
    <t>Designers and drivers battle corporate interference to defeat Ferrari at Le Mans.</t>
  </si>
  <si>
    <t>show:307534</t>
  </si>
  <si>
    <t>Free Bert</t>
  </si>
  <si>
    <t>tt37449205</t>
  </si>
  <si>
    <t>307534</t>
  </si>
  <si>
    <t>family-adjustment</t>
  </si>
  <si>
    <t>family-comedy; fish-out-of-water; sitcom</t>
  </si>
  <si>
    <t>irreverent; warm; awkward; lighthearted</t>
  </si>
  <si>
    <t>https://www.imdb.com/title/tt37449205/</t>
  </si>
  <si>
    <t>https://www.themoviedb.org/search?query=Free%20Bert%202026</t>
  </si>
  <si>
    <t>A father’s unfiltered personality collides with the expectations of an elite school community.</t>
  </si>
  <si>
    <t>show:4278</t>
  </si>
  <si>
    <t>Friday Night Lights</t>
  </si>
  <si>
    <t>tt0758745</t>
  </si>
  <si>
    <t>4278</t>
  </si>
  <si>
    <t>community-and-football</t>
  </si>
  <si>
    <t>sports-drama; small-town-drama; family-drama</t>
  </si>
  <si>
    <t>heartfelt; realistic; emotional; inspirational</t>
  </si>
  <si>
    <t>https://www.imdb.com/title/tt0758745/</t>
  </si>
  <si>
    <t>https://www.themoviedb.org/search?query=Friday%20Night%20Lights%202006</t>
  </si>
  <si>
    <t>High-school football shapes identity, opportunity, and relationships in a Texas town.</t>
  </si>
  <si>
    <t>show:132016</t>
  </si>
  <si>
    <t>Full Circle</t>
  </si>
  <si>
    <t>tt15303234</t>
  </si>
  <si>
    <t>132016</t>
  </si>
  <si>
    <t>interconnected-consequences</t>
  </si>
  <si>
    <t>crime-thriller; ensemble-drama; kidnapping-mystery</t>
  </si>
  <si>
    <t>tense; intricate; suspenseful; character-driven</t>
  </si>
  <si>
    <t>https://www.imdb.com/title/tt15303234/</t>
  </si>
  <si>
    <t>https://www.themoviedb.org/search?query=Full%20Circle%202023</t>
  </si>
  <si>
    <t>A kidnapping links families and exposes long-buried decisions and consequences.</t>
  </si>
  <si>
    <t>show:218137</t>
  </si>
  <si>
    <t>Full Swing</t>
  </si>
  <si>
    <t>tt17050700</t>
  </si>
  <si>
    <t>218137</t>
  </si>
  <si>
    <t>professional-golf-competition</t>
  </si>
  <si>
    <t>sports-documentary; docuseries</t>
  </si>
  <si>
    <t>competitive; polished; inspirational; candid</t>
  </si>
  <si>
    <t>https://www.imdb.com/title/tt17050700/</t>
  </si>
  <si>
    <t>https://www.themoviedb.org/search?query=Full%20Swing%202023</t>
  </si>
  <si>
    <t>Professional golfers navigate competition, pressure, and life on the PGA Tour.</t>
  </si>
  <si>
    <t>movie:445571</t>
  </si>
  <si>
    <t>Game Night</t>
  </si>
  <si>
    <t>tt2704998</t>
  </si>
  <si>
    <t>445571</t>
  </si>
  <si>
    <t>competition-becomes-danger</t>
  </si>
  <si>
    <t>action-comedy; mystery-comedy; ensemble-comedy</t>
  </si>
  <si>
    <t>witty; energetic; suspenseful; playful</t>
  </si>
  <si>
    <t>https://www.imdb.com/title/tt2704998/</t>
  </si>
  <si>
    <t>https://www.themoviedb.org/search?query=Game%20Night%202018</t>
  </si>
  <si>
    <t>A staged mystery game becomes a real criminal kidnapping.</t>
  </si>
  <si>
    <t>show:1399</t>
  </si>
  <si>
    <t>Game of Thrones</t>
  </si>
  <si>
    <t>tt0944947</t>
  </si>
  <si>
    <t>1399</t>
  </si>
  <si>
    <t>struggle-for-political-power</t>
  </si>
  <si>
    <t>timeless</t>
  </si>
  <si>
    <t>fantasy</t>
  </si>
  <si>
    <t>epic-fantasy; political-drama; war-fantasy</t>
  </si>
  <si>
    <t>epic; dark; intricate; suspenseful</t>
  </si>
  <si>
    <t>https://www.imdb.com/title/tt0944947/</t>
  </si>
  <si>
    <t>https://www.themoviedb.org/search?query=Game%20of%20Thrones%202011</t>
  </si>
  <si>
    <t>Noble families and rival claimants fight for control of the Seven Kingdoms.</t>
  </si>
  <si>
    <t>show:107407</t>
  </si>
  <si>
    <t>Gaslit</t>
  </si>
  <si>
    <t>tt11834592</t>
  </si>
  <si>
    <t>107407</t>
  </si>
  <si>
    <t>watergate-whistleblowing</t>
  </si>
  <si>
    <t>political-drama; docudrama; limited-series</t>
  </si>
  <si>
    <t>tense; satirical; character-driven; provocative</t>
  </si>
  <si>
    <t>https://www.imdb.com/title/tt11834592/</t>
  </si>
  <si>
    <t>https://www.themoviedb.org/search?query=Gaslit%202022</t>
  </si>
  <si>
    <t>Peripheral figures expose the Watergate conspiracy and suffer political retaliation.</t>
  </si>
  <si>
    <t>show:205715</t>
  </si>
  <si>
    <t>Gen V</t>
  </si>
  <si>
    <t>tt13159924</t>
  </si>
  <si>
    <t>205715</t>
  </si>
  <si>
    <t>institutional-exploitation-of-youth</t>
  </si>
  <si>
    <t>superhero; college-drama; dark-comedy</t>
  </si>
  <si>
    <t>violent; satirical; irreverent; tense</t>
  </si>
  <si>
    <t>https://www.imdb.com/title/tt13159924/</t>
  </si>
  <si>
    <t>https://www.themoviedb.org/search?query=Gen%20V%202023</t>
  </si>
  <si>
    <t>Young superheroes discover exploitation and experimentation within their elite university.</t>
  </si>
  <si>
    <t>movie:419430</t>
  </si>
  <si>
    <t>Get Out</t>
  </si>
  <si>
    <t>tt5052448</t>
  </si>
  <si>
    <t>419430</t>
  </si>
  <si>
    <t>racial-exploitation</t>
  </si>
  <si>
    <t>social-horror; psychological-horror; satire</t>
  </si>
  <si>
    <t>unsettling; suspenseful; satirical; tense</t>
  </si>
  <si>
    <t>https://www.imdb.com/title/tt5052448/</t>
  </si>
  <si>
    <t>https://www.themoviedb.org/search?query=Get%20Out%202017</t>
  </si>
  <si>
    <t>A Black man discovers an affluent family’s predatory appropriation of Black bodies.</t>
  </si>
  <si>
    <t>show:117581</t>
  </si>
  <si>
    <t>Ginny &amp; Georgia</t>
  </si>
  <si>
    <t>tt10813940</t>
  </si>
  <si>
    <t>117581</t>
  </si>
  <si>
    <t>family-secrets-and-reinvention</t>
  </si>
  <si>
    <t>family-drama; teen-drama; mystery-drama</t>
  </si>
  <si>
    <t>witty; emotional; twisty; character-driven</t>
  </si>
  <si>
    <t>https://www.imdb.com/title/tt10813940/</t>
  </si>
  <si>
    <t>https://www.themoviedb.org/search?query=Ginny%20%26%20Georgia%202021</t>
  </si>
  <si>
    <t>A mother seeks a stable new life while her past threatens her children and relationships.</t>
  </si>
  <si>
    <t>show:42282</t>
  </si>
  <si>
    <t>Girls</t>
  </si>
  <si>
    <t>tt1723816</t>
  </si>
  <si>
    <t>42282</t>
  </si>
  <si>
    <t>young-adult-self-discovery</t>
  </si>
  <si>
    <t>dramedy; friendship-comedy; city-comedy</t>
  </si>
  <si>
    <t>awkward; candid; self-deprecating; character-driven</t>
  </si>
  <si>
    <t>https://www.imdb.com/title/tt1723816/</t>
  </si>
  <si>
    <t>https://www.themoviedb.org/search?query=Girls%202012</t>
  </si>
  <si>
    <t>Young women navigate work, friendship, identity, and uneven adulthood in New York.</t>
  </si>
  <si>
    <t>movie:558449</t>
  </si>
  <si>
    <t>Gladiator II</t>
  </si>
  <si>
    <t>tt9218128</t>
  </si>
  <si>
    <t>558449</t>
  </si>
  <si>
    <t>restoring-rome</t>
  </si>
  <si>
    <t>sword-and-sandal; historical-epic; revenge-drama</t>
  </si>
  <si>
    <t>epic; intense; violent; heroic</t>
  </si>
  <si>
    <t>https://www.imdb.com/title/tt9218128/</t>
  </si>
  <si>
    <t>https://www.themoviedb.org/search?query=Gladiator%20II%202024</t>
  </si>
  <si>
    <t>An enslaved heir fights through the arena to oppose corrupt rulers and restore Rome.</t>
  </si>
  <si>
    <t>movie:450465</t>
  </si>
  <si>
    <t>Glass</t>
  </si>
  <si>
    <t>tt6823368</t>
  </si>
  <si>
    <t>450465</t>
  </si>
  <si>
    <t>superhuman-identity</t>
  </si>
  <si>
    <t>superhero-thriller; psychological-thriller; trilogy-finale</t>
  </si>
  <si>
    <t>cerebral; tense; dark; restrained</t>
  </si>
  <si>
    <t>https://www.imdb.com/title/tt6823368/</t>
  </si>
  <si>
    <t>https://www.themoviedb.org/search?query=Glass%202019</t>
  </si>
  <si>
    <t>Three men with extraordinary identities confront a system determined to disprove them.</t>
  </si>
  <si>
    <t>movie:661374</t>
  </si>
  <si>
    <t>Glass Onion: A Knives Out Mystery</t>
  </si>
  <si>
    <t>tt11564570</t>
  </si>
  <si>
    <t>661374</t>
  </si>
  <si>
    <t>wealth-and-deception</t>
  </si>
  <si>
    <t>whodunit; comedy-mystery; ensemble-mystery</t>
  </si>
  <si>
    <t>witty; satirical; colorful; twisty</t>
  </si>
  <si>
    <t>https://www.imdb.com/title/tt11564570/</t>
  </si>
  <si>
    <t>https://www.themoviedb.org/search?query=Glass%20Onion%3A%20A%20Knives%20Out%20Mystery%202022</t>
  </si>
  <si>
    <t>A detective exposes deception and entitlement inside a billionaire’s social circle.</t>
  </si>
  <si>
    <t>show:70573</t>
  </si>
  <si>
    <t>GLOW</t>
  </si>
  <si>
    <t>tt5770786</t>
  </si>
  <si>
    <t>70573</t>
  </si>
  <si>
    <t>women-and-performance</t>
  </si>
  <si>
    <t>workplace-comedy; sports-comedy; ensemble-drama</t>
  </si>
  <si>
    <t>energetic; heartfelt; colorful; character-driven</t>
  </si>
  <si>
    <t>https://www.imdb.com/title/tt5770786/</t>
  </si>
  <si>
    <t>https://www.themoviedb.org/search?query=GLOW%202017</t>
  </si>
  <si>
    <t>Women build identities and relationships through a struggling televised wrestling production.</t>
  </si>
  <si>
    <t>show:79086</t>
  </si>
  <si>
    <t>Godfather of Harlem</t>
  </si>
  <si>
    <t>tt8080122</t>
  </si>
  <si>
    <t>79086</t>
  </si>
  <si>
    <t>organized-crime-and-civil-rights</t>
  </si>
  <si>
    <t>gangster; historical-drama; political-drama</t>
  </si>
  <si>
    <t>gritty; intense; atmospheric; character-driven</t>
  </si>
  <si>
    <t>https://www.imdb.com/title/tt8080122/</t>
  </si>
  <si>
    <t>https://www.themoviedb.org/search?query=Godfather%20of%20Harlem%202019</t>
  </si>
  <si>
    <t>A Harlem crime boss seeks control amid mob conflict and civil-rights upheaval.</t>
  </si>
  <si>
    <t>show:73467</t>
  </si>
  <si>
    <t>Godless</t>
  </si>
  <si>
    <t>tt5516154</t>
  </si>
  <si>
    <t>73467</t>
  </si>
  <si>
    <t>survival-in-the-frontier</t>
  </si>
  <si>
    <t>revisionist-western; revenge-western; ensemble-drama</t>
  </si>
  <si>
    <t>gritty; atmospheric; intense; somber</t>
  </si>
  <si>
    <t>https://www.imdb.com/title/tt5516154/</t>
  </si>
  <si>
    <t>https://www.themoviedb.org/search?query=Godless%202017</t>
  </si>
  <si>
    <t>A town dominated by women faces an outlaw seeking revenge against a former protégé.</t>
  </si>
  <si>
    <t>show:67384</t>
  </si>
  <si>
    <t>Goliath</t>
  </si>
  <si>
    <t>tt4687880</t>
  </si>
  <si>
    <t>67384</t>
  </si>
  <si>
    <t>legal-redemption</t>
  </si>
  <si>
    <t>legal-drama; conspiracy-thriller; neo-noir</t>
  </si>
  <si>
    <t>gritty; cynical; suspenseful; character-driven</t>
  </si>
  <si>
    <t>https://www.imdb.com/title/tt4687880/</t>
  </si>
  <si>
    <t>https://www.themoviedb.org/search?query=Goliath%202016</t>
  </si>
  <si>
    <t>A disgraced attorney pursues major cases as a path toward professional and personal redemption.</t>
  </si>
  <si>
    <t>show:91405</t>
  </si>
  <si>
    <t>Gordon Ramsay: Uncharted</t>
  </si>
  <si>
    <t>tt9165706</t>
  </si>
  <si>
    <t>91405</t>
  </si>
  <si>
    <t>culinary-cultural-exploration</t>
  </si>
  <si>
    <t>travel-documentary; food-documentary; adventure-docuseries</t>
  </si>
  <si>
    <t>adventurous; energetic; curious; immersive</t>
  </si>
  <si>
    <t>https://www.imdb.com/title/tt9165706/</t>
  </si>
  <si>
    <t>https://www.themoviedb.org/search?query=Gordon%20Ramsay%3A%20Uncharted%202019</t>
  </si>
  <si>
    <t>Gordon Ramsay visits remote regions to learn local food traditions and ingredients.</t>
  </si>
  <si>
    <t>movie:980489</t>
  </si>
  <si>
    <t>Gran Turismo</t>
  </si>
  <si>
    <t>tt4495098</t>
  </si>
  <si>
    <t>980489</t>
  </si>
  <si>
    <t>gamer-to-professional-racer</t>
  </si>
  <si>
    <t>auto-racing; biography; underdog-drama</t>
  </si>
  <si>
    <t>inspirational; energetic; intense; uplifting</t>
  </si>
  <si>
    <t>https://www.imdb.com/title/tt4495098/</t>
  </si>
  <si>
    <t>https://www.themoviedb.org/search?query=Gran%20Turismo%202023</t>
  </si>
  <si>
    <t>A skilled racing gamer attempts to become a professional race-car driver.</t>
  </si>
  <si>
    <t>movie:490132</t>
  </si>
  <si>
    <t>Green Book</t>
  </si>
  <si>
    <t>tt6966692</t>
  </si>
  <si>
    <t>490132</t>
  </si>
  <si>
    <t>racial-prejudice-and-friendship</t>
  </si>
  <si>
    <t>road-movie; biography; friendship-drama</t>
  </si>
  <si>
    <t>warm; heartfelt; uplifting; reflective</t>
  </si>
  <si>
    <t>https://www.imdb.com/title/tt6966692/</t>
  </si>
  <si>
    <t>https://www.themoviedb.org/search?query=Green%20Book%202018</t>
  </si>
  <si>
    <t>A Black pianist and his driver confront racism while forming an unlikely friendship on tour.</t>
  </si>
  <si>
    <t>show:137893</t>
  </si>
  <si>
    <t>Griselda</t>
  </si>
  <si>
    <t>tt15837600</t>
  </si>
  <si>
    <t>137893</t>
  </si>
  <si>
    <t>rise-and-fall-of-a-drug-queenpin</t>
  </si>
  <si>
    <t>drug-crime; biography; gangster</t>
  </si>
  <si>
    <t>gritty; intense; stylish; dark</t>
  </si>
  <si>
    <t>https://www.imdb.com/title/tt15837600/</t>
  </si>
  <si>
    <t>https://www.themoviedb.org/search?query=Griselda%202024</t>
  </si>
  <si>
    <t>Griselda Blanco builds a powerful cocaine empire amid violence and personal deterioration.</t>
  </si>
  <si>
    <t>show:83659</t>
  </si>
  <si>
    <t>Guillermo del Toro's Cabinet of Curiosities</t>
  </si>
  <si>
    <t>tt8415836</t>
  </si>
  <si>
    <t>83659</t>
  </si>
  <si>
    <t>curiosity-and-consequence</t>
  </si>
  <si>
    <t>anthology-horror; gothic-horror; cosmic-horror</t>
  </si>
  <si>
    <t>macabre; atmospheric; unsettling; visually-rich</t>
  </si>
  <si>
    <t>https://www.imdb.com/title/tt8415836/</t>
  </si>
  <si>
    <t>https://www.themoviedb.org/search?query=Guillermo%20del%20Toro%27s%20Cabinet%20of%20Curiosities%202022</t>
  </si>
  <si>
    <t>Curated standalone tales explore obsession, fear, and supernatural consequences.</t>
  </si>
  <si>
    <t>show:124101</t>
  </si>
  <si>
    <t>Hacks</t>
  </si>
  <si>
    <t>tt11815682</t>
  </si>
  <si>
    <t>124101</t>
  </si>
  <si>
    <t>creative-partnership</t>
  </si>
  <si>
    <t>show-business-comedy; workplace-comedy; dramedy</t>
  </si>
  <si>
    <t>witty; sharp; heartfelt; character-driven</t>
  </si>
  <si>
    <t>https://www.imdb.com/title/tt11815682/</t>
  </si>
  <si>
    <t>https://www.themoviedb.org/search?query=Hacks%202021</t>
  </si>
  <si>
    <t>A veteran comedian and young writer form a combative partnership that reshapes both careers.</t>
  </si>
  <si>
    <t>show:59659</t>
  </si>
  <si>
    <t>Halt and Catch Fire</t>
  </si>
  <si>
    <t>tt2543312</t>
  </si>
  <si>
    <t>59659</t>
  </si>
  <si>
    <t>technological-innovation-and-connection</t>
  </si>
  <si>
    <t>technology-drama; workplace-drama; period-drama</t>
  </si>
  <si>
    <t>character-driven; thoughtful; ambitious; bittersweet</t>
  </si>
  <si>
    <t>https://www.imdb.com/title/tt2543312/</t>
  </si>
  <si>
    <t>https://www.themoviedb.org/search?query=Halt%20and%20Catch%20Fire%202014</t>
  </si>
  <si>
    <t>Entrepreneurs and engineers pursue computing innovation while their relationships evolve.</t>
  </si>
  <si>
    <t>movie:858024</t>
  </si>
  <si>
    <t>Hamnet</t>
  </si>
  <si>
    <t>tt14905854</t>
  </si>
  <si>
    <t>858024</t>
  </si>
  <si>
    <t>grief-and-artistic-creation</t>
  </si>
  <si>
    <t>early-modern</t>
  </si>
  <si>
    <t>historical-drama; literary-drama; family-drama</t>
  </si>
  <si>
    <t>emotional; intimate; melancholic; lyrical</t>
  </si>
  <si>
    <t>https://www.imdb.com/title/tt14905854/</t>
  </si>
  <si>
    <t>https://www.themoviedb.org/search?query=Hamnet%202025</t>
  </si>
  <si>
    <t>A family’s grief after a child’s death becomes intertwined with artistic creation.</t>
  </si>
  <si>
    <t>show:92553</t>
  </si>
  <si>
    <t>Heels</t>
  </si>
  <si>
    <t>tt6554240</t>
  </si>
  <si>
    <t>92553</t>
  </si>
  <si>
    <t>family-rivalry-and-wrestling</t>
  </si>
  <si>
    <t>sports-drama; family-drama; workplace-drama</t>
  </si>
  <si>
    <t>gritty; emotional; character-driven; intense</t>
  </si>
  <si>
    <t>https://www.imdb.com/title/tt6554240/</t>
  </si>
  <si>
    <t>https://www.themoviedb.org/search?query=Heels%202021</t>
  </si>
  <si>
    <t>Brothers running a wrestling promotion struggle with rivalry, performance, and family legacy.</t>
  </si>
  <si>
    <t>movie:338766</t>
  </si>
  <si>
    <t>Hell or High Water</t>
  </si>
  <si>
    <t>tt2582782</t>
  </si>
  <si>
    <t>338766</t>
  </si>
  <si>
    <t>economic-desperation</t>
  </si>
  <si>
    <t>neo-western; heist-film; family-drama</t>
  </si>
  <si>
    <t>gritty; tense; atmospheric; character-driven</t>
  </si>
  <si>
    <t>https://www.imdb.com/title/tt2582782/</t>
  </si>
  <si>
    <t>https://www.themoviedb.org/search?query=Hell%20or%20High%20Water%202016</t>
  </si>
  <si>
    <t>Brothers rob the bank threatening foreclosure on their family ranch.</t>
  </si>
  <si>
    <t>movie:381284</t>
  </si>
  <si>
    <t>Hidden Figures</t>
  </si>
  <si>
    <t>tt4846340</t>
  </si>
  <si>
    <t>381284</t>
  </si>
  <si>
    <t>racial-and-gender-barriers</t>
  </si>
  <si>
    <t>historical-drama; workplace-drama; space-race-drama</t>
  </si>
  <si>
    <t>inspirational; uplifting; heartfelt; intelligent</t>
  </si>
  <si>
    <t>https://www.imdb.com/title/tt4846340/</t>
  </si>
  <si>
    <t>https://www.themoviedb.org/search?query=Hidden%20Figures%202016</t>
  </si>
  <si>
    <t>Black women mathematicians overcome discrimination while supporting the U.S. space program.</t>
  </si>
  <si>
    <t>show:96734</t>
  </si>
  <si>
    <t>High Fidelity</t>
  </si>
  <si>
    <t>tt8577458</t>
  </si>
  <si>
    <t>96734</t>
  </si>
  <si>
    <t>romantic-self-examination</t>
  </si>
  <si>
    <t>romantic-dramedy; music-comedy; character-study</t>
  </si>
  <si>
    <t>witty; bittersweet; intimate; reflective</t>
  </si>
  <si>
    <t>https://www.imdb.com/title/tt8577458/</t>
  </si>
  <si>
    <t>https://www.themoviedb.org/search?query=High%20Fidelity%202020</t>
  </si>
  <si>
    <t>A record-store owner revisits past relationships to understand her own patterns.</t>
  </si>
  <si>
    <t>show:226637</t>
  </si>
  <si>
    <t>High Potential</t>
  </si>
  <si>
    <t>tt22091076</t>
  </si>
  <si>
    <t>226637</t>
  </si>
  <si>
    <t>unconventional-crime-solving</t>
  </si>
  <si>
    <t>police-procedural; comedy-drama; whodunit</t>
  </si>
  <si>
    <t>witty; clever; upbeat; character-driven</t>
  </si>
  <si>
    <t>https://www.imdb.com/title/tt22091076/</t>
  </si>
  <si>
    <t>https://www.themoviedb.org/search?query=High%20Potential%202024</t>
  </si>
  <si>
    <t>A gifted single mother becomes a police consultant using unconventional observation and reasoning.</t>
  </si>
  <si>
    <t>show:198102</t>
  </si>
  <si>
    <t>Hijack</t>
  </si>
  <si>
    <t>tt19854762</t>
  </si>
  <si>
    <t>198102</t>
  </si>
  <si>
    <t>airliner-crisis-negotiation</t>
  </si>
  <si>
    <t>hijacking-thriller; real-time-thriller; conspiracy-thriller</t>
  </si>
  <si>
    <t>tense; suspenseful; claustrophobic; fast-paced</t>
  </si>
  <si>
    <t>https://www.imdb.com/title/tt19854762/</t>
  </si>
  <si>
    <t>https://www.themoviedb.org/search?query=Hijack%202023</t>
  </si>
  <si>
    <t>A negotiator aboard a hijacked flight tries to resolve the crisis while authorities respond below.</t>
  </si>
  <si>
    <t>show:1407</t>
  </si>
  <si>
    <t>Homeland</t>
  </si>
  <si>
    <t>tt1796960</t>
  </si>
  <si>
    <t>1407</t>
  </si>
  <si>
    <t>counterterrorism-and-loyalty</t>
  </si>
  <si>
    <t>spy-thriller; political-thriller; psychological-drama</t>
  </si>
  <si>
    <t>tense; paranoid; suspenseful; character-driven</t>
  </si>
  <si>
    <t>https://www.imdb.com/title/tt1796960/</t>
  </si>
  <si>
    <t>https://www.themoviedb.org/search?query=Homeland%202011</t>
  </si>
  <si>
    <t>An intelligence officer investigates terrorism while struggling with trust, duty, and personal instability.</t>
  </si>
  <si>
    <t>show:65454</t>
  </si>
  <si>
    <t>Horace and Pete</t>
  </si>
  <si>
    <t>tt5425186</t>
  </si>
  <si>
    <t>65454</t>
  </si>
  <si>
    <t>family-dysfunction-and-legacy</t>
  </si>
  <si>
    <t>family-drama; tragicomedy; chamber-drama</t>
  </si>
  <si>
    <t>melancholic; intimate; bleak; character-driven</t>
  </si>
  <si>
    <t>https://www.imdb.com/title/tt5425186/</t>
  </si>
  <si>
    <t>https://www.themoviedb.org/search?query=Horace%20and%20Pete%202016</t>
  </si>
  <si>
    <t>A family-owned bar becomes the setting for addiction, resentment, and inherited dysfunction.</t>
  </si>
  <si>
    <t>show:1408</t>
  </si>
  <si>
    <t>House</t>
  </si>
  <si>
    <t>tt0412142</t>
  </si>
  <si>
    <t>1408</t>
  </si>
  <si>
    <t>medical-diagnosis-and-isolation</t>
  </si>
  <si>
    <t>medical-procedural; mystery-drama; workplace-drama</t>
  </si>
  <si>
    <t>cynical; cerebral; witty; character-driven</t>
  </si>
  <si>
    <t>https://www.imdb.com/title/tt0412142/</t>
  </si>
  <si>
    <t>https://www.themoviedb.org/search?query=House%202004</t>
  </si>
  <si>
    <t>A brilliant, abrasive physician solves difficult diagnoses while resisting emotional connection.</t>
  </si>
  <si>
    <t>show:1425</t>
  </si>
  <si>
    <t>House of Cards</t>
  </si>
  <si>
    <t>tt1856010</t>
  </si>
  <si>
    <t>1425</t>
  </si>
  <si>
    <t>political-ambition-and-manipulation</t>
  </si>
  <si>
    <t>political-thriller; conspiracy-drama; character-study</t>
  </si>
  <si>
    <t>dark; cerebral; ruthless; suspenseful</t>
  </si>
  <si>
    <t>https://www.imdb.com/title/tt1856010/</t>
  </si>
  <si>
    <t>https://www.themoviedb.org/search?query=House%20of%20Cards%202013</t>
  </si>
  <si>
    <t>A politician and his wife manipulate institutions and people in pursuit of power.</t>
  </si>
  <si>
    <t>movie:9919</t>
  </si>
  <si>
    <t>How to Lose a Guy in 10 Days</t>
  </si>
  <si>
    <t>tt0251127</t>
  </si>
  <si>
    <t>9919</t>
  </si>
  <si>
    <t>deception-to-romance</t>
  </si>
  <si>
    <t>romantic-comedy; workplace-romance</t>
  </si>
  <si>
    <t>playful; witty; lighthearted; warm</t>
  </si>
  <si>
    <t>https://www.imdb.com/title/tt0251127/</t>
  </si>
  <si>
    <t>https://www.themoviedb.org/search?query=How%20to%20Lose%20a%20Guy%20in%2010%20Days%202003</t>
  </si>
  <si>
    <t>Two professionals begin a relationship with opposing hidden agendas and develop genuine feelings.</t>
  </si>
  <si>
    <t>show:110971</t>
  </si>
  <si>
    <t>How To with John Wilson</t>
  </si>
  <si>
    <t>tt10801534</t>
  </si>
  <si>
    <t>110971</t>
  </si>
  <si>
    <t>everyday-human-behavior</t>
  </si>
  <si>
    <t>comedy-documentary; observational-docuseries; essay-film</t>
  </si>
  <si>
    <t>quirky; reflective; deadpan; warm</t>
  </si>
  <si>
    <t>https://www.imdb.com/title/tt10801534/</t>
  </si>
  <si>
    <t>https://www.themoviedb.org/search?query=How%20To%20with%20John%20Wilson%202020</t>
  </si>
  <si>
    <t>Everyday footage and practical questions become observations about people, cities, and connection.</t>
  </si>
  <si>
    <t>show:271053</t>
  </si>
  <si>
    <t>I Love LA</t>
  </si>
  <si>
    <t>tt33362589</t>
  </si>
  <si>
    <t>271053</t>
  </si>
  <si>
    <t>friendship-and-career-ambition</t>
  </si>
  <si>
    <t>friendship-comedy; city-comedy; workplace-comedy</t>
  </si>
  <si>
    <t>witty; chaotic; aspirational; character-driven</t>
  </si>
  <si>
    <t>https://www.imdb.com/title/tt33362589/</t>
  </si>
  <si>
    <t>https://www.themoviedb.org/search?query=I%20Love%20LA%202025</t>
  </si>
  <si>
    <t>A group of friends navigates relationships and ambition in Los Angeles.</t>
  </si>
  <si>
    <t>show:102619</t>
  </si>
  <si>
    <t>I May Destroy You</t>
  </si>
  <si>
    <t>tt11204260</t>
  </si>
  <si>
    <t>102619</t>
  </si>
  <si>
    <t>consent-and-trauma-recovery</t>
  </si>
  <si>
    <t>psychological-drama; dark-comedy; limited-series</t>
  </si>
  <si>
    <t>intimate; provocative; unsettling; candid</t>
  </si>
  <si>
    <t>https://www.imdb.com/title/tt11204260/</t>
  </si>
  <si>
    <t>https://www.themoviedb.org/search?query=I%20May%20Destroy%20You%202020</t>
  </si>
  <si>
    <t>A writer reconstructs an assault and reexamines consent, memory, relationships, and recovery.</t>
  </si>
  <si>
    <t>show:88728</t>
  </si>
  <si>
    <t>I Think You Should Leave with Tim Robinson</t>
  </si>
  <si>
    <t>tt10050772</t>
  </si>
  <si>
    <t>88728</t>
  </si>
  <si>
    <t>social-discomfort</t>
  </si>
  <si>
    <t>sketch-comedy; absurdist-comedy; cringe-comedy</t>
  </si>
  <si>
    <t>absurd; awkward; irreverent; unpredictable</t>
  </si>
  <si>
    <t>https://www.imdb.com/title/tt10050772/</t>
  </si>
  <si>
    <t>https://www.themoviedb.org/search?query=I%20Think%20You%20Should%20Leave%20with%20Tim%20Robinson%202019</t>
  </si>
  <si>
    <t>Sketches escalate ordinary social discomfort into surreal confrontation.</t>
  </si>
  <si>
    <t>show:278178</t>
  </si>
  <si>
    <t>I Will Find You</t>
  </si>
  <si>
    <t>tt34771210</t>
  </si>
  <si>
    <t>278178</t>
  </si>
  <si>
    <t>wrongful-conviction-and-parental-search</t>
  </si>
  <si>
    <t>crime-drama; mystery-thriller; conspiracy-thriller</t>
  </si>
  <si>
    <t>suspenseful; emotional; twisty; fast-paced</t>
  </si>
  <si>
    <t>https://www.imdb.com/title/tt34771210/</t>
  </si>
  <si>
    <t>https://www.themoviedb.org/search?query=I%20Will%20Find%20You%202026</t>
  </si>
  <si>
    <t>A wrongly imprisoned father escapes after evidence suggests his murdered son may still be alive.</t>
  </si>
  <si>
    <t>movie:389015</t>
  </si>
  <si>
    <t>I, Tonya</t>
  </si>
  <si>
    <t>tt5580036</t>
  </si>
  <si>
    <t>389015</t>
  </si>
  <si>
    <t>ambition-and-abuse</t>
  </si>
  <si>
    <t>sports-biography; black-comedy; mockumentary</t>
  </si>
  <si>
    <t>darkly-comic; energetic; abrasive; tragic</t>
  </si>
  <si>
    <t>https://www.imdb.com/title/tt5580036/</t>
  </si>
  <si>
    <t>https://www.themoviedb.org/search?query=I%2C%20Tonya%202017</t>
  </si>
  <si>
    <t>Tonya Harding’s skating career is shaped by abuse, class prejudice, ambition, and scandal.</t>
  </si>
  <si>
    <t>show:105169</t>
  </si>
  <si>
    <t>I'm a Virgo</t>
  </si>
  <si>
    <t>tt13649510</t>
  </si>
  <si>
    <t>105169</t>
  </si>
  <si>
    <t>outsider-self-discovery</t>
  </si>
  <si>
    <t>afro-surrealism; coming-of-age; social-satire</t>
  </si>
  <si>
    <t>surreal; satirical; imaginative; offbeat</t>
  </si>
  <si>
    <t>https://www.imdb.com/title/tt13649510/</t>
  </si>
  <si>
    <t>https://www.themoviedb.org/search?query=I%27m%20a%20Virgo%202023</t>
  </si>
  <si>
    <t>A sheltered 13-foot-tall young man enters the outside world and confronts its social structures.</t>
  </si>
  <si>
    <t>Batch 05</t>
  </si>
  <si>
    <t>show:90812</t>
  </si>
  <si>
    <t>Industry</t>
  </si>
  <si>
    <t>tt7671070</t>
  </si>
  <si>
    <t>90812</t>
  </si>
  <si>
    <t>ambition-and-workplace-power</t>
  </si>
  <si>
    <t>financial-drama; workplace-drama; ensemble-drama</t>
  </si>
  <si>
    <t>intense; cynical; provocative; fast-paced</t>
  </si>
  <si>
    <t>https://www.imdb.com/title/tt7671070/</t>
  </si>
  <si>
    <t>https://www.themoviedb.org/search?query=Industry%202020</t>
  </si>
  <si>
    <t>Young graduates compete for status and survival inside a demanding investment bank.</t>
  </si>
  <si>
    <t>show:127235</t>
  </si>
  <si>
    <t>Invasion</t>
  </si>
  <si>
    <t>tt9737326</t>
  </si>
  <si>
    <t>127235</t>
  </si>
  <si>
    <t>survival-during-alien-invasion</t>
  </si>
  <si>
    <t>alien-invasion; ensemble-drama; apocalyptic-drama</t>
  </si>
  <si>
    <t>slow-burn; atmospheric; tense; somber</t>
  </si>
  <si>
    <t>https://www.imdb.com/title/tt9737326/</t>
  </si>
  <si>
    <t>https://www.themoviedb.org/search?query=Invasion%202021</t>
  </si>
  <si>
    <t>People across the world struggle to understand and survive an extraterrestrial invasion.</t>
  </si>
  <si>
    <t>movie:11652</t>
  </si>
  <si>
    <t>Invincible</t>
  </si>
  <si>
    <t>tt0445990</t>
  </si>
  <si>
    <t>11652</t>
  </si>
  <si>
    <t>athletic-perseverance</t>
  </si>
  <si>
    <t>football-drama; biography; underdog-drama</t>
  </si>
  <si>
    <t>inspirational; uplifting; heartfelt; determined</t>
  </si>
  <si>
    <t>https://www.imdb.com/title/tt0445990/</t>
  </si>
  <si>
    <t>https://www.themoviedb.org/search?query=Invincible%202006</t>
  </si>
  <si>
    <t>An overlooked teacher earns a chance to play professional football through persistence.</t>
  </si>
  <si>
    <t>show:114471</t>
  </si>
  <si>
    <t>Ironheart</t>
  </si>
  <si>
    <t>tt13623126</t>
  </si>
  <si>
    <t>114471</t>
  </si>
  <si>
    <t>technological-ambition-and-identity</t>
  </si>
  <si>
    <t>superhero; coming-of-age; science-fantasy</t>
  </si>
  <si>
    <t>energetic; character-driven; inventive; adventurous</t>
  </si>
  <si>
    <t>https://www.imdb.com/title/tt13623126/</t>
  </si>
  <si>
    <t>https://www.themoviedb.org/search?query=Ironheart%202025</t>
  </si>
  <si>
    <t>A young inventor builds advanced armor while defining her ambitions and moral identity.</t>
  </si>
  <si>
    <t>movie:346364</t>
  </si>
  <si>
    <t>It</t>
  </si>
  <si>
    <t>tt1396484</t>
  </si>
  <si>
    <t>346364</t>
  </si>
  <si>
    <t>childhood-fear-and-friendship</t>
  </si>
  <si>
    <t>supernatural-horror; coming-of-age; creature-feature</t>
  </si>
  <si>
    <t>frightening; nostalgic; suspenseful; emotional</t>
  </si>
  <si>
    <t>https://www.imdb.com/title/tt1396484/</t>
  </si>
  <si>
    <t>https://www.themoviedb.org/search?query=It%202017</t>
  </si>
  <si>
    <t>Children unite through friendship to confront a shape-shifting entity that feeds on fear.</t>
  </si>
  <si>
    <t>movie:474350</t>
  </si>
  <si>
    <t>It Chapter Two</t>
  </si>
  <si>
    <t>tt7349950</t>
  </si>
  <si>
    <t>474350</t>
  </si>
  <si>
    <t>confronting-childhood-trauma</t>
  </si>
  <si>
    <t>supernatural-horror; creature-feature; psychological-horror</t>
  </si>
  <si>
    <t>dark; emotional; suspenseful; intense</t>
  </si>
  <si>
    <t>https://www.imdb.com/title/tt7349950/</t>
  </si>
  <si>
    <t>https://www.themoviedb.org/search?query=It%20Chapter%20Two%202019</t>
  </si>
  <si>
    <t>The adult Losers return to Derry to confront Pennywise and the fears left from childhood.</t>
  </si>
  <si>
    <t>show:200875</t>
  </si>
  <si>
    <t>IT: Welcome to Derry</t>
  </si>
  <si>
    <t>tt19244304</t>
  </si>
  <si>
    <t>200875</t>
  </si>
  <si>
    <t>cyclical-evil</t>
  </si>
  <si>
    <t>supernatural-horror; period-horror; prequel</t>
  </si>
  <si>
    <t>ominous; atmospheric; disturbing; suspenseful</t>
  </si>
  <si>
    <t>https://www.imdb.com/title/tt19244304/</t>
  </si>
  <si>
    <t>https://www.themoviedb.org/search?query=IT%3A%20Welcome%20to%20Derry%202025</t>
  </si>
  <si>
    <t>A 1962 disappearance reveals Derry’s recurring supernatural evil and community history.</t>
  </si>
  <si>
    <t>show:2710</t>
  </si>
  <si>
    <t>It's Always Sunny in Philadelphia</t>
  </si>
  <si>
    <t>tt0472954</t>
  </si>
  <si>
    <t>2710</t>
  </si>
  <si>
    <t>self-interest-and-dysfunction</t>
  </si>
  <si>
    <t>sitcom; dark-comedy; social-satire</t>
  </si>
  <si>
    <t>irreverent; cynical; absurd; chaotic</t>
  </si>
  <si>
    <t>https://www.imdb.com/title/tt0472954/</t>
  </si>
  <si>
    <t>https://www.themoviedb.org/search?query=It%27s%20Always%20Sunny%20in%20Philadelphia%202005</t>
  </si>
  <si>
    <t>A selfish group repeatedly creates conflict through schemes, ignorance, and social dysfunction.</t>
  </si>
  <si>
    <t>movie:324552</t>
  </si>
  <si>
    <t>John Wick: Chapter 2</t>
  </si>
  <si>
    <t>tt4425200</t>
  </si>
  <si>
    <t>324552</t>
  </si>
  <si>
    <t>criminal-obligation</t>
  </si>
  <si>
    <t>neo-noir; assassin-thriller; revenge-action</t>
  </si>
  <si>
    <t>stylish; kinetic; violent; intense</t>
  </si>
  <si>
    <t>https://www.imdb.com/title/tt4425200/</t>
  </si>
  <si>
    <t>https://www.themoviedb.org/search?query=John%20Wick%3A%20Chapter%202%202017</t>
  </si>
  <si>
    <t>John Wick is forced to honor a blood oath and is drawn deeper into the assassin underworld.</t>
  </si>
  <si>
    <t>movie:458156</t>
  </si>
  <si>
    <t>John Wick: Chapter 3 - Parabellum</t>
  </si>
  <si>
    <t>tt6146586</t>
  </si>
  <si>
    <t>458156</t>
  </si>
  <si>
    <t>survival-against-the-underworld</t>
  </si>
  <si>
    <t>neo-noir; assassin-thriller; fugitive-thriller</t>
  </si>
  <si>
    <t>kinetic; stylish; relentless; violent</t>
  </si>
  <si>
    <t>https://www.imdb.com/title/tt6146586/</t>
  </si>
  <si>
    <t>https://www.themoviedb.org/search?query=John%20Wick%3A%20Chapter%203%20-%20Parabellum%202019</t>
  </si>
  <si>
    <t>Excommunicated and hunted, John Wick fights to survive a global bounty.</t>
  </si>
  <si>
    <t>movie:603692</t>
  </si>
  <si>
    <t>John Wick: Chapter 4</t>
  </si>
  <si>
    <t>tt10366206</t>
  </si>
  <si>
    <t>603692</t>
  </si>
  <si>
    <t>freedom-from-criminal-rule</t>
  </si>
  <si>
    <t>neo-noir; assassin-thriller; martial-arts-action</t>
  </si>
  <si>
    <t>epic; kinetic; stylish; relentless</t>
  </si>
  <si>
    <t>https://www.imdb.com/title/tt10366206/</t>
  </si>
  <si>
    <t>https://www.themoviedb.org/search?query=John%20Wick%3A%20Chapter%204%202023</t>
  </si>
  <si>
    <t>John Wick seeks a path to defeat the High Table and earn freedom.</t>
  </si>
  <si>
    <t>movie:475557</t>
  </si>
  <si>
    <t>Joker</t>
  </si>
  <si>
    <t>tt7286456</t>
  </si>
  <si>
    <t>475557</t>
  </si>
  <si>
    <t>social-alienation-and-violence</t>
  </si>
  <si>
    <t>psychological-drama; crime-drama; character-study</t>
  </si>
  <si>
    <t>bleak; unsettling; intense; tragic</t>
  </si>
  <si>
    <t>https://www.imdb.com/title/tt7286456/</t>
  </si>
  <si>
    <t>https://www.themoviedb.org/search?query=Joker%202019</t>
  </si>
  <si>
    <t>An isolated man’s humiliation and mental deterioration culminate in public violence.</t>
  </si>
  <si>
    <t>movie:274479</t>
  </si>
  <si>
    <t>Joy</t>
  </si>
  <si>
    <t>tt2446980</t>
  </si>
  <si>
    <t>274479</t>
  </si>
  <si>
    <t>entrepreneurial-resilience</t>
  </si>
  <si>
    <t>business-drama; family-drama; inspirational-drama</t>
  </si>
  <si>
    <t>inspirational; determined; emotional; energetic</t>
  </si>
  <si>
    <t>https://www.imdb.com/title/tt2446980/</t>
  </si>
  <si>
    <t>https://www.themoviedb.org/search?query=Joy%202015</t>
  </si>
  <si>
    <t>An inventor overcomes family conflict and business obstacles to build a successful enterprise.</t>
  </si>
  <si>
    <t>movie:522212</t>
  </si>
  <si>
    <t>Just Mercy</t>
  </si>
  <si>
    <t>tt4916630</t>
  </si>
  <si>
    <t>522212</t>
  </si>
  <si>
    <t>wrongful-conviction-and-justice</t>
  </si>
  <si>
    <t>legal-drama; biography; social-justice-drama</t>
  </si>
  <si>
    <t>serious; emotional; principled; inspirational</t>
  </si>
  <si>
    <t>https://www.imdb.com/title/tt4916630/</t>
  </si>
  <si>
    <t>https://www.themoviedb.org/search?query=Just%20Mercy%202019</t>
  </si>
  <si>
    <t>A defense attorney challenges a wrongful death-row conviction and systemic injustice.</t>
  </si>
  <si>
    <t>show:1436</t>
  </si>
  <si>
    <t>Justified</t>
  </si>
  <si>
    <t>tt1489428</t>
  </si>
  <si>
    <t>1436</t>
  </si>
  <si>
    <t>law-and-personal-code</t>
  </si>
  <si>
    <t>neo-western; police-drama; southern-gothic</t>
  </si>
  <si>
    <t>witty; gritty; tense; character-driven</t>
  </si>
  <si>
    <t>https://www.imdb.com/title/tt1489428/</t>
  </si>
  <si>
    <t>https://www.themoviedb.org/search?query=Justified%202010</t>
  </si>
  <si>
    <t>A U.S. Marshal enforces the law through a personal code in his Kentucky home region.</t>
  </si>
  <si>
    <t>show:201304</t>
  </si>
  <si>
    <t>Justified: City Primeval</t>
  </si>
  <si>
    <t>tt14263564</t>
  </si>
  <si>
    <t>201304</t>
  </si>
  <si>
    <t>lawman-versus-sociopath</t>
  </si>
  <si>
    <t>neo-western; police-thriller; limited-series</t>
  </si>
  <si>
    <t>gritty; tense; stylish; character-driven</t>
  </si>
  <si>
    <t>https://www.imdb.com/title/tt14263564/</t>
  </si>
  <si>
    <t>https://www.themoviedb.org/search?query=Justified%3A%20City%20Primeval%202023</t>
  </si>
  <si>
    <t>Raylan Givens pursues a violent criminal through Detroit’s legal and criminal worlds.</t>
  </si>
  <si>
    <t>show:99652</t>
  </si>
  <si>
    <t>KEVIN CAN F**K HIMSELF</t>
  </si>
  <si>
    <t>tt9257258</t>
  </si>
  <si>
    <t>99652</t>
  </si>
  <si>
    <t>marital-oppression-and-agency</t>
  </si>
  <si>
    <t>dark-comedy; satire; psychological-drama</t>
  </si>
  <si>
    <t>dark; inventive; unsettling; satirical</t>
  </si>
  <si>
    <t>https://www.imdb.com/title/tt9257258/</t>
  </si>
  <si>
    <t>https://www.themoviedb.org/search?query=KEVIN%20CAN%20F%2A%2AK%20HIMSELF%202021</t>
  </si>
  <si>
    <t>A sitcom wife recognizes her oppressive marriage and attempts to reclaim control of her life.</t>
  </si>
  <si>
    <t>movie:23483</t>
  </si>
  <si>
    <t>Kick-Ass</t>
  </si>
  <si>
    <t>tt1250777</t>
  </si>
  <si>
    <t>23483</t>
  </si>
  <si>
    <t>ordinary-vigilantism</t>
  </si>
  <si>
    <t>superhero; action-comedy; coming-of-age</t>
  </si>
  <si>
    <t>irreverent; violent; energetic; satirical</t>
  </si>
  <si>
    <t>https://www.imdb.com/title/tt1250777/</t>
  </si>
  <si>
    <t>https://www.themoviedb.org/search?query=Kick-Ass%202010</t>
  </si>
  <si>
    <t>An ordinary teenager becomes a masked vigilante despite lacking powers or training.</t>
  </si>
  <si>
    <t>movie:59859</t>
  </si>
  <si>
    <t>Kick-Ass 2</t>
  </si>
  <si>
    <t>tt1650554</t>
  </si>
  <si>
    <t>59859</t>
  </si>
  <si>
    <t>vigilante-consequences</t>
  </si>
  <si>
    <t>superhero; action-comedy; ensemble-action</t>
  </si>
  <si>
    <t>violent; irreverent; energetic; dark</t>
  </si>
  <si>
    <t>https://www.imdb.com/title/tt1650554/</t>
  </si>
  <si>
    <t>https://www.themoviedb.org/search?query=Kick-Ass%202%202013</t>
  </si>
  <si>
    <t>Amateur heroes face organized retaliation and the consequences of public vigilantism.</t>
  </si>
  <si>
    <t>movie:466420</t>
  </si>
  <si>
    <t>Killers of the Flower Moon</t>
  </si>
  <si>
    <t>tt5537002</t>
  </si>
  <si>
    <t>466420</t>
  </si>
  <si>
    <t>indigenous-exploitation-and-murder</t>
  </si>
  <si>
    <t>true-crime; historical-drama; western</t>
  </si>
  <si>
    <t>somber; deliberate; tragic; unsettling</t>
  </si>
  <si>
    <t>https://www.imdb.com/title/tt5537002/</t>
  </si>
  <si>
    <t>https://www.themoviedb.org/search?query=Killers%20of%20the%20Flower%20Moon%202023</t>
  </si>
  <si>
    <t>White conspirators murder Osage people to steal oil wealth and mineral rights.</t>
  </si>
  <si>
    <t>show:72750</t>
  </si>
  <si>
    <t>Killing Eve</t>
  </si>
  <si>
    <t>tt7016936</t>
  </si>
  <si>
    <t>72750</t>
  </si>
  <si>
    <t>obsession-and-identity</t>
  </si>
  <si>
    <t>spy-thriller; dark-comedy; psychological-drama</t>
  </si>
  <si>
    <t>stylish; darkly-comic; suspenseful; provocative</t>
  </si>
  <si>
    <t>https://www.imdb.com/title/tt7016936/</t>
  </si>
  <si>
    <t>https://www.themoviedb.org/search?query=Killing%20Eve%202018</t>
  </si>
  <si>
    <t>An intelligence investigator and an assassin develop a dangerous mutual obsession.</t>
  </si>
  <si>
    <t>movie:614917</t>
  </si>
  <si>
    <t>King Richard</t>
  </si>
  <si>
    <t>tt9620288</t>
  </si>
  <si>
    <t>614917</t>
  </si>
  <si>
    <t>parental-ambition-and-opportunity</t>
  </si>
  <si>
    <t>sports-biography; family-drama; tennis-drama</t>
  </si>
  <si>
    <t>inspirational; determined; uplifting; heartfelt</t>
  </si>
  <si>
    <t>https://www.imdb.com/title/tt9620288/</t>
  </si>
  <si>
    <t>https://www.themoviedb.org/search?query=King%20Richard%202021</t>
  </si>
  <si>
    <t>A father’s plan and advocacy help his daughters pursue elite tennis careers.</t>
  </si>
  <si>
    <t>movie:546554</t>
  </si>
  <si>
    <t>Knives Out</t>
  </si>
  <si>
    <t>tt8946378</t>
  </si>
  <si>
    <t>546554</t>
  </si>
  <si>
    <t>family-greed-and-deception</t>
  </si>
  <si>
    <t>witty; twisty; playful; satirical</t>
  </si>
  <si>
    <t>https://www.imdb.com/title/tt8946378/</t>
  </si>
  <si>
    <t>https://www.themoviedb.org/search?query=Knives%20Out%202019</t>
  </si>
  <si>
    <t>A detective untangles lies and inheritance motives after a wealthy patriarch’s death.</t>
  </si>
  <si>
    <t>movie:293167</t>
  </si>
  <si>
    <t>Kong: Skull Island</t>
  </si>
  <si>
    <t>tt3731562</t>
  </si>
  <si>
    <t>293167</t>
  </si>
  <si>
    <t>humanity-versus-unknown-nature</t>
  </si>
  <si>
    <t>monster-adventure; creature-feature; expedition-film</t>
  </si>
  <si>
    <t>adventurous; spectacular; tense; pulpy</t>
  </si>
  <si>
    <t>https://www.imdb.com/title/tt3731562/</t>
  </si>
  <si>
    <t>https://www.themoviedb.org/search?query=Kong%3A%20Skull%20Island%202017</t>
  </si>
  <si>
    <t>An expedition encounters giant creatures and a protector of an isolated ecosystem.</t>
  </si>
  <si>
    <t>movie:313369</t>
  </si>
  <si>
    <t>La La Land</t>
  </si>
  <si>
    <t>tt3783958</t>
  </si>
  <si>
    <t>313369</t>
  </si>
  <si>
    <t>love-versus-ambition</t>
  </si>
  <si>
    <t>musical-romance; show-business-drama; bittersweet-romance</t>
  </si>
  <si>
    <t>romantic; vibrant; bittersweet; nostalgic</t>
  </si>
  <si>
    <t>https://www.imdb.com/title/tt3783958/</t>
  </si>
  <si>
    <t>https://www.themoviedb.org/search?query=La%20La%20Land%202016</t>
  </si>
  <si>
    <t>Two artists fall in love while their professional ambitions pull their lives apart.</t>
  </si>
  <si>
    <t>movie:391713</t>
  </si>
  <si>
    <t>Lady Bird</t>
  </si>
  <si>
    <t>tt4925292</t>
  </si>
  <si>
    <t>391713</t>
  </si>
  <si>
    <t>adolescent-independence-and-family</t>
  </si>
  <si>
    <t>coming-of-age; family-drama; comedy-drama</t>
  </si>
  <si>
    <t>witty; heartfelt; bittersweet; intimate</t>
  </si>
  <si>
    <t>https://www.imdb.com/title/tt4925292/</t>
  </si>
  <si>
    <t>https://www.themoviedb.org/search?query=Lady%20Bird%202017</t>
  </si>
  <si>
    <t>A teenager seeks independence while struggling to understand her mother and home.</t>
  </si>
  <si>
    <t>show:157741</t>
  </si>
  <si>
    <t>Landman</t>
  </si>
  <si>
    <t>tt14186672</t>
  </si>
  <si>
    <t>157741</t>
  </si>
  <si>
    <t>oil-boom-power-and-risk</t>
  </si>
  <si>
    <t>neo-western; workplace-drama; family-drama</t>
  </si>
  <si>
    <t>gritty; sharp; tense; character-driven</t>
  </si>
  <si>
    <t>https://www.imdb.com/title/tt14186672/</t>
  </si>
  <si>
    <t>https://www.themoviedb.org/search?query=Landman%202024</t>
  </si>
  <si>
    <t>An oil-company fixer navigates wealth, danger, family, and power in West Texas.</t>
  </si>
  <si>
    <t>show:262280</t>
  </si>
  <si>
    <t>Legends</t>
  </si>
  <si>
    <t>tt33265765</t>
  </si>
  <si>
    <t>262280</t>
  </si>
  <si>
    <t>undercover-identity-and-drug-smuggling</t>
  </si>
  <si>
    <t>undercover-drama; espionage-drama; period-drama</t>
  </si>
  <si>
    <t>tense; restrained; suspenseful; character-driven</t>
  </si>
  <si>
    <t>https://www.imdb.com/title/tt33265765/</t>
  </si>
  <si>
    <t>https://www.themoviedb.org/search?query=Legends%202026</t>
  </si>
  <si>
    <t>Customs officers assume false identities to infiltrate drug-smuggling organizations in the early 1990s.</t>
  </si>
  <si>
    <t>show:67195</t>
  </si>
  <si>
    <t>Legion</t>
  </si>
  <si>
    <t>tt5114356</t>
  </si>
  <si>
    <t>67195</t>
  </si>
  <si>
    <t>mental-illness-and-superhuman-identity</t>
  </si>
  <si>
    <t>superhero; psychological-drama; surreal-fantasy</t>
  </si>
  <si>
    <t>surreal; cerebral; visually-rich; unsettling</t>
  </si>
  <si>
    <t>https://www.imdb.com/title/tt5114356/</t>
  </si>
  <si>
    <t>https://www.themoviedb.org/search?query=Legion%202017</t>
  </si>
  <si>
    <t>A powerful mutant questions whether his experiences stem from mental illness or external forces.</t>
  </si>
  <si>
    <t>movie:718032</t>
  </si>
  <si>
    <t>Licorice Pizza</t>
  </si>
  <si>
    <t>tt11271038</t>
  </si>
  <si>
    <t>718032</t>
  </si>
  <si>
    <t>youthful-connection-and-self-discovery</t>
  </si>
  <si>
    <t>coming-of-age; romantic-comedy; period-comedy</t>
  </si>
  <si>
    <t>nostalgic; loose; warm; quirky</t>
  </si>
  <si>
    <t>https://www.imdb.com/title/tt11271038/</t>
  </si>
  <si>
    <t>https://www.themoviedb.org/search?query=Licorice%20Pizza%202021</t>
  </si>
  <si>
    <t>Two young people form an unconventional bond while pursuing schemes and identity in 1973.</t>
  </si>
  <si>
    <t>show:113962</t>
  </si>
  <si>
    <t>Lioness</t>
  </si>
  <si>
    <t>tt13111078</t>
  </si>
  <si>
    <t>113962</t>
  </si>
  <si>
    <t>counterterrorism-and-personal-sacrifice</t>
  </si>
  <si>
    <t>spy-thriller; military-drama; political-thriller</t>
  </si>
  <si>
    <t>tense; intense; suspenseful; character-driven</t>
  </si>
  <si>
    <t>https://www.imdb.com/title/tt13111078/</t>
  </si>
  <si>
    <t>https://www.themoviedb.org/search?query=Lioness%202023</t>
  </si>
  <si>
    <t>Women in a covert CIA program infiltrate terrorist networks at substantial personal cost.</t>
  </si>
  <si>
    <t>show:95839</t>
  </si>
  <si>
    <t>Lisey's Story</t>
  </si>
  <si>
    <t>tt3319460</t>
  </si>
  <si>
    <t>95839</t>
  </si>
  <si>
    <t>grief-and-hidden-marital-trauma</t>
  </si>
  <si>
    <t>psychological-horror; supernatural-mystery; gothic-romance</t>
  </si>
  <si>
    <t>atmospheric; melancholic; unsettling; intimate</t>
  </si>
  <si>
    <t>https://www.imdb.com/title/tt3319460/</t>
  </si>
  <si>
    <t>https://www.themoviedb.org/search?query=Lisey%27s%20Story%202021</t>
  </si>
  <si>
    <t>A widow confronts repressed memories, supernatural danger, and her late husband’s traumatic past.</t>
  </si>
  <si>
    <t>show:90257</t>
  </si>
  <si>
    <t>Little Fires Everywhere</t>
  </si>
  <si>
    <t>tt8089592</t>
  </si>
  <si>
    <t>90257</t>
  </si>
  <si>
    <t>motherhood-class-and-race</t>
  </si>
  <si>
    <t>family-drama; domestic-drama; social-drama</t>
  </si>
  <si>
    <t>tense; emotional; polished; character-driven</t>
  </si>
  <si>
    <t>https://www.imdb.com/title/tt8089592/</t>
  </si>
  <si>
    <t>https://www.themoviedb.org/search?query=Little%20Fires%20Everywhere%202020</t>
  </si>
  <si>
    <t>Two mothers clash over privilege, identity, family choices, and a contested adoption.</t>
  </si>
  <si>
    <t>show:244321</t>
  </si>
  <si>
    <t>Lockerbie: A Search for Truth</t>
  </si>
  <si>
    <t>tt31029686</t>
  </si>
  <si>
    <t>244321</t>
  </si>
  <si>
    <t>accountability-after-terrorism</t>
  </si>
  <si>
    <t>historical-drama; investigative-drama; limited-series</t>
  </si>
  <si>
    <t>somber; determined; tense; emotional</t>
  </si>
  <si>
    <t>https://www.imdb.com/title/tt31029686/</t>
  </si>
  <si>
    <t>https://www.themoviedb.org/search?query=Lockerbie%3A%20A%20Search%20for%20Truth%202025</t>
  </si>
  <si>
    <t>A grieving father pursues truth and accountability after the Lockerbie bombing.</t>
  </si>
  <si>
    <t>show:84958</t>
  </si>
  <si>
    <t>Loki</t>
  </si>
  <si>
    <t>tt9140554</t>
  </si>
  <si>
    <t>84958</t>
  </si>
  <si>
    <t>identity-fate-and-free-will</t>
  </si>
  <si>
    <t>superhero; time-travel; fantasy-adventure</t>
  </si>
  <si>
    <t>witty; cerebral; adventurous; emotional</t>
  </si>
  <si>
    <t>https://www.imdb.com/title/tt9140554/</t>
  </si>
  <si>
    <t>https://www.themoviedb.org/search?query=Loki%202021</t>
  </si>
  <si>
    <t>Loki confronts alternate selves and institutions controlling time, fate, and choice.</t>
  </si>
  <si>
    <t>show:244628</t>
  </si>
  <si>
    <t>Long Bright River</t>
  </si>
  <si>
    <t>tt8332798</t>
  </si>
  <si>
    <t>244628</t>
  </si>
  <si>
    <t>sisterhood-and-addiction</t>
  </si>
  <si>
    <t>police-procedural; family-drama; mystery-thriller</t>
  </si>
  <si>
    <t>somber; tense; character-driven; empathetic</t>
  </si>
  <si>
    <t>https://www.imdb.com/title/tt8332798/</t>
  </si>
  <si>
    <t>https://www.themoviedb.org/search?query=Long%20Bright%20River%202025</t>
  </si>
  <si>
    <t>A police officer searches for her missing sister amid addiction and murders in Philadelphia.</t>
  </si>
  <si>
    <t>show:4607</t>
  </si>
  <si>
    <t>Lost</t>
  </si>
  <si>
    <t>tt0411008</t>
  </si>
  <si>
    <t>4607</t>
  </si>
  <si>
    <t>survival-and-human-connection</t>
  </si>
  <si>
    <t>survival-drama; science-fiction-mystery; ensemble-drama</t>
  </si>
  <si>
    <t>mysterious; emotional; adventurous; intricate</t>
  </si>
  <si>
    <t>https://www.imdb.com/title/tt0411008/</t>
  </si>
  <si>
    <t>https://www.themoviedb.org/search?query=Lost%202004</t>
  </si>
  <si>
    <t>Plane-crash survivors form a community while confronting the island’s mysteries and their pasts.</t>
  </si>
  <si>
    <t>show:75758</t>
  </si>
  <si>
    <t>Lost in Space</t>
  </si>
  <si>
    <t>tt5232792</t>
  </si>
  <si>
    <t>75758</t>
  </si>
  <si>
    <t>family-survival-and-exploration</t>
  </si>
  <si>
    <t>space-adventure; family-drama; survival-drama</t>
  </si>
  <si>
    <t>adventurous; suspenseful; hopeful; emotional</t>
  </si>
  <si>
    <t>https://www.imdb.com/title/tt5232792/</t>
  </si>
  <si>
    <t>https://www.themoviedb.org/search?query=Lost%20in%20Space%202018</t>
  </si>
  <si>
    <t>A stranded family must cooperate and adapt while trying to reach safety in space.</t>
  </si>
  <si>
    <t>show:73200</t>
  </si>
  <si>
    <t>Loudermilk</t>
  </si>
  <si>
    <t>tt5957766</t>
  </si>
  <si>
    <t>73200</t>
  </si>
  <si>
    <t>addiction-and-accountability</t>
  </si>
  <si>
    <t>dark-comedy; recovery-comedy; character-study</t>
  </si>
  <si>
    <t>cynical; witty; abrasive; heartfelt</t>
  </si>
  <si>
    <t>https://www.imdb.com/title/tt5957766/</t>
  </si>
  <si>
    <t>https://www.themoviedb.org/search?query=Loudermilk%202017</t>
  </si>
  <si>
    <t>A recovery counselor confronts his own flaws while helping others maintain sobriety.</t>
  </si>
  <si>
    <t>show:53606</t>
  </si>
  <si>
    <t>Love</t>
  </si>
  <si>
    <t>tt4061080</t>
  </si>
  <si>
    <t>53606</t>
  </si>
  <si>
    <t>romantic-incompatibility-and-growth</t>
  </si>
  <si>
    <t>romantic-dramedy; relationship-comedy; ensemble-comedy</t>
  </si>
  <si>
    <t>awkward; candid; bittersweet; character-driven</t>
  </si>
  <si>
    <t>https://www.imdb.com/title/tt4061080/</t>
  </si>
  <si>
    <t>https://www.themoviedb.org/search?query=Love%202016</t>
  </si>
  <si>
    <t>Two flawed people attempt a relationship while confronting incompatible habits and emotional needs.</t>
  </si>
  <si>
    <t>show:124800</t>
  </si>
  <si>
    <t>Love &amp; Death</t>
  </si>
  <si>
    <t>tt14586350</t>
  </si>
  <si>
    <t>124800</t>
  </si>
  <si>
    <t>suburban-infidelity-and-murder</t>
  </si>
  <si>
    <t>true-crime; psychological-drama; courtroom-drama</t>
  </si>
  <si>
    <t>tense; unsettling; restrained; character-driven</t>
  </si>
  <si>
    <t>https://www.imdb.com/title/tt14586350/</t>
  </si>
  <si>
    <t>https://www.themoviedb.org/search?query=Love%20%26%20Death%202023</t>
  </si>
  <si>
    <t>An affair between churchgoing neighbors culminates in an axe killing and trial.</t>
  </si>
  <si>
    <t>show:99353</t>
  </si>
  <si>
    <t>Love is Blind</t>
  </si>
  <si>
    <t>tt11704040</t>
  </si>
  <si>
    <t>99353</t>
  </si>
  <si>
    <t>emotional-connection-without-appearance</t>
  </si>
  <si>
    <t>reality-romance; social-experiment; dating-show</t>
  </si>
  <si>
    <t>emotional; dramatic; glossy; suspenseful</t>
  </si>
  <si>
    <t>https://www.imdb.com/title/tt11704040/</t>
  </si>
  <si>
    <t>https://www.themoviedb.org/search?query=Love%20is%20Blind%202020</t>
  </si>
  <si>
    <t>Singles date and become engaged before meeting face to face.</t>
  </si>
  <si>
    <t>show:102316</t>
  </si>
  <si>
    <t>Love Life</t>
  </si>
  <si>
    <t>tt10380768</t>
  </si>
  <si>
    <t>102316</t>
  </si>
  <si>
    <t>romantic-development-across-relationships</t>
  </si>
  <si>
    <t>anthology-romance; romantic-comedy; character-study</t>
  </si>
  <si>
    <t>warm; bittersweet; reflective; intimate</t>
  </si>
  <si>
    <t>https://www.imdb.com/title/tt10380768/</t>
  </si>
  <si>
    <t>https://www.themoviedb.org/search?query=Love%20Life%202020</t>
  </si>
  <si>
    <t>Each season follows one person’s growth through a series of significant relationships.</t>
  </si>
  <si>
    <t>show:210239</t>
  </si>
  <si>
    <t>Lucky Hank</t>
  </si>
  <si>
    <t>tt19785210</t>
  </si>
  <si>
    <t>210239</t>
  </si>
  <si>
    <t>midlife-stagnation-and-academic-dysfunction</t>
  </si>
  <si>
    <t>workplace-comedy; satire; dramedy</t>
  </si>
  <si>
    <t>dry; cynical; witty; character-driven</t>
  </si>
  <si>
    <t>https://www.imdb.com/title/tt19785210/</t>
  </si>
  <si>
    <t>https://www.themoviedb.org/search?query=Lucky%20Hank%202023</t>
  </si>
  <si>
    <t>An English department chair spirals through career frustration, family tension, and midlife crisis.</t>
  </si>
  <si>
    <t>movie:76341</t>
  </si>
  <si>
    <t>Mad Max: Fury Road</t>
  </si>
  <si>
    <t>tt1392190</t>
  </si>
  <si>
    <t>76341</t>
  </si>
  <si>
    <t>liberation-from-tyranny</t>
  </si>
  <si>
    <t>post-apocalyptic; road-action; survival-action</t>
  </si>
  <si>
    <t>kinetic; intense; visually-rich; relentless</t>
  </si>
  <si>
    <t>https://www.imdb.com/title/tt1392190/</t>
  </si>
  <si>
    <t>https://www.themoviedb.org/search?query=Mad%20Max%3A%20Fury%20Road%202015</t>
  </si>
  <si>
    <t>Furiosa, Max, and captive women flee and ultimately challenge a tyrant controlling vital resources.</t>
  </si>
  <si>
    <t>show:1104</t>
  </si>
  <si>
    <t>Mad Men</t>
  </si>
  <si>
    <t>tt0804503</t>
  </si>
  <si>
    <t>1104</t>
  </si>
  <si>
    <t>identity-and-social-change</t>
  </si>
  <si>
    <t>workplace-drama; period-drama; character-study</t>
  </si>
  <si>
    <t>sophisticated; reflective; character-driven; melancholic</t>
  </si>
  <si>
    <t>https://www.imdb.com/title/tt0804503/</t>
  </si>
  <si>
    <t>https://www.themoviedb.org/search?query=Mad%20Men%202007</t>
  </si>
  <si>
    <t>Advertising professionals navigate identity, ambition, family, and social change in the 1960s.</t>
  </si>
  <si>
    <t>show:90970</t>
  </si>
  <si>
    <t>Made For Love</t>
  </si>
  <si>
    <t>tt7808566</t>
  </si>
  <si>
    <t>90970</t>
  </si>
  <si>
    <t>technological-coercive-control</t>
  </si>
  <si>
    <t>dark-comedy; science-fiction-comedy; relationship-thriller</t>
  </si>
  <si>
    <t>satirical; dark; offbeat; unsettling</t>
  </si>
  <si>
    <t>https://www.imdb.com/title/tt7808566/</t>
  </si>
  <si>
    <t>https://www.themoviedb.org/search?query=Made%20For%20Love%202021</t>
  </si>
  <si>
    <t>A woman escapes a controlling husband who implanted technology to monitor her thoughts and location.</t>
  </si>
  <si>
    <t>movie:523607</t>
  </si>
  <si>
    <t>Maestro</t>
  </si>
  <si>
    <t>tt5535276</t>
  </si>
  <si>
    <t>523607</t>
  </si>
  <si>
    <t>artistic-ambition-and-marriage</t>
  </si>
  <si>
    <t>music-biography; romantic-drama; historical-drama</t>
  </si>
  <si>
    <t>intimate; emotional; sophisticated; bittersweet</t>
  </si>
  <si>
    <t>https://www.imdb.com/title/tt5535276/</t>
  </si>
  <si>
    <t>https://www.themoviedb.org/search?query=Maestro%202023</t>
  </si>
  <si>
    <t>Leonard Bernstein’s career and complex marriage shape the central story.</t>
  </si>
  <si>
    <t>show:111141</t>
  </si>
  <si>
    <t>Maid</t>
  </si>
  <si>
    <t>tt11337908</t>
  </si>
  <si>
    <t>111141</t>
  </si>
  <si>
    <t>escaping-abuse-and-poverty</t>
  </si>
  <si>
    <t>family-drama; social-realism; limited-series</t>
  </si>
  <si>
    <t>gritty; emotional; intimate; hopeful</t>
  </si>
  <si>
    <t>https://www.imdb.com/title/tt11337908/</t>
  </si>
  <si>
    <t>https://www.themoviedb.org/search?query=Maid%202021</t>
  </si>
  <si>
    <t>A young mother leaves an abusive relationship and struggles through poverty to protect her child.</t>
  </si>
  <si>
    <t>movie:334541</t>
  </si>
  <si>
    <t>Manchester by the Sea</t>
  </si>
  <si>
    <t>tt4034228</t>
  </si>
  <si>
    <t>334541</t>
  </si>
  <si>
    <t>grief-and-guilt</t>
  </si>
  <si>
    <t>family-drama; character-study</t>
  </si>
  <si>
    <t>melancholic; intimate; restrained; emotional</t>
  </si>
  <si>
    <t>https://www.imdb.com/title/tt4034228/</t>
  </si>
  <si>
    <t>https://www.themoviedb.org/search?query=Manchester%20by%20the%20Sea%202016</t>
  </si>
  <si>
    <t>A man returns home after his brother’s death and confronts devastating guilt and grief.</t>
  </si>
  <si>
    <t>Batch 06</t>
  </si>
  <si>
    <t>show:155533</t>
  </si>
  <si>
    <t>Manhunt</t>
  </si>
  <si>
    <t>tt16912512</t>
  </si>
  <si>
    <t>155533</t>
  </si>
  <si>
    <t>lincoln-assassination-pursuit</t>
  </si>
  <si>
    <t>historical-thriller; manhunt-drama; political-drama</t>
  </si>
  <si>
    <t>tense; atmospheric; suspenseful; serious</t>
  </si>
  <si>
    <t>https://www.imdb.com/title/tt16912512/</t>
  </si>
  <si>
    <t>https://www.themoviedb.org/search?query=Manhunt%202024</t>
  </si>
  <si>
    <t>Authorities pursue John Wilkes Booth after Abraham Lincoln’s assassination.</t>
  </si>
  <si>
    <t>show:73411</t>
  </si>
  <si>
    <t>Maniac</t>
  </si>
  <si>
    <t>tt5580146</t>
  </si>
  <si>
    <t>73411</t>
  </si>
  <si>
    <t>mental-health-and-connection</t>
  </si>
  <si>
    <t>psychological-drama; dark-comedy; surreal-science-fiction</t>
  </si>
  <si>
    <t>surreal; cerebral; melancholic; offbeat</t>
  </si>
  <si>
    <t>https://www.imdb.com/title/tt5580146/</t>
  </si>
  <si>
    <t>https://www.themoviedb.org/search?query=Maniac%202018</t>
  </si>
  <si>
    <t>Two strangers in a drug trial confront trauma and form an unexpected connection.</t>
  </si>
  <si>
    <t>show:79696</t>
  </si>
  <si>
    <t>Manifest</t>
  </si>
  <si>
    <t>tt8421350</t>
  </si>
  <si>
    <t>79696</t>
  </si>
  <si>
    <t>fate-and-second-chances</t>
  </si>
  <si>
    <t>supernatural-mystery; family-drama; conspiracy-drama</t>
  </si>
  <si>
    <t>mysterious; emotional; suspenseful; spiritual</t>
  </si>
  <si>
    <t>https://www.imdb.com/title/tt8421350/</t>
  </si>
  <si>
    <t>https://www.themoviedb.org/search?query=Manifest%202018</t>
  </si>
  <si>
    <t>Airline passengers return after years missing and seek meaning in supernatural callings.</t>
  </si>
  <si>
    <t>show:115004</t>
  </si>
  <si>
    <t>Mare of Easttown</t>
  </si>
  <si>
    <t>tt10155688</t>
  </si>
  <si>
    <t>115004</t>
  </si>
  <si>
    <t>grief-and-community-secrets</t>
  </si>
  <si>
    <t>police-procedural; small-town-drama; murder-mystery</t>
  </si>
  <si>
    <t>gritty; somber; atmospheric; character-driven</t>
  </si>
  <si>
    <t>https://www.imdb.com/title/tt10155688/</t>
  </si>
  <si>
    <t>https://www.themoviedb.org/search?query=Mare%20of%20Easttown%202021</t>
  </si>
  <si>
    <t>A detective investigates murder while carrying grief within a close Pennsylvania community.</t>
  </si>
  <si>
    <t>movie:50839</t>
  </si>
  <si>
    <t>Margin Call</t>
  </si>
  <si>
    <t>tt1615147</t>
  </si>
  <si>
    <t>50839</t>
  </si>
  <si>
    <t>financial-crisis-ethics</t>
  </si>
  <si>
    <t>financial-drama; workplace-thriller; chamber-drama</t>
  </si>
  <si>
    <t>tense; cerebral; restrained; ominous</t>
  </si>
  <si>
    <t>https://www.imdb.com/title/tt1615147/</t>
  </si>
  <si>
    <t>https://www.themoviedb.org/search?query=Margin%20Call%202011</t>
  </si>
  <si>
    <t>Investment-bank employees confront ethical choices when discovering catastrophic financial exposure.</t>
  </si>
  <si>
    <t>movie:492188</t>
  </si>
  <si>
    <t>Marriage Story</t>
  </si>
  <si>
    <t>tt7653254</t>
  </si>
  <si>
    <t>492188</t>
  </si>
  <si>
    <t>divorce-and-family-transition</t>
  </si>
  <si>
    <t>relationship-drama; family-drama; legal-drama</t>
  </si>
  <si>
    <t>intimate; emotional; bittersweet; character-driven</t>
  </si>
  <si>
    <t>https://www.imdb.com/title/tt7653254/</t>
  </si>
  <si>
    <t>https://www.themoviedb.org/search?query=Marriage%20Story%202019</t>
  </si>
  <si>
    <t>A separating couple navigates divorce, parenting, career, and unresolved love.</t>
  </si>
  <si>
    <t>movie:1317288</t>
  </si>
  <si>
    <t>Marty Supreme</t>
  </si>
  <si>
    <t>tt32916440</t>
  </si>
  <si>
    <t>1317288</t>
  </si>
  <si>
    <t>ambition-and-table-tennis</t>
  </si>
  <si>
    <t>sports-drama; period-drama; character-study</t>
  </si>
  <si>
    <t>energetic; ambitious; character-driven; stylish</t>
  </si>
  <si>
    <t>https://www.imdb.com/title/tt32916440/</t>
  </si>
  <si>
    <t>https://www.themoviedb.org/search?query=Marty%20Supreme%202025</t>
  </si>
  <si>
    <t>An ambitious table-tennis player pursues recognition and success in the 1950s.</t>
  </si>
  <si>
    <t>show:61889</t>
  </si>
  <si>
    <t>Marvel's Daredevil</t>
  </si>
  <si>
    <t>tt3322312</t>
  </si>
  <si>
    <t>61889</t>
  </si>
  <si>
    <t>vigilante-justice</t>
  </si>
  <si>
    <t>superhero; crime-drama; legal-drama</t>
  </si>
  <si>
    <t>https://www.imdb.com/title/tt3322312/</t>
  </si>
  <si>
    <t>https://www.themoviedb.org/search?query=Marvel%27s%20Daredevil%202015</t>
  </si>
  <si>
    <t>A blind lawyer uses vigilantism to fight organized crime and corruption in Hell’s Kitchen.</t>
  </si>
  <si>
    <t>show:38472</t>
  </si>
  <si>
    <t>Marvel's Jessica Jones</t>
  </si>
  <si>
    <t>tt2357547</t>
  </si>
  <si>
    <t>38472</t>
  </si>
  <si>
    <t>trauma-and-agency</t>
  </si>
  <si>
    <t>superhero-noir; detective-drama; psychological-thriller</t>
  </si>
  <si>
    <t>dark; gritty; intimate; suspenseful</t>
  </si>
  <si>
    <t>https://www.imdb.com/title/tt2357547/</t>
  </si>
  <si>
    <t>https://www.themoviedb.org/search?query=Marvel%27s%20Jessica%20Jones%202015</t>
  </si>
  <si>
    <t>A traumatized private investigator confronts coercion and reclaims control over her life.</t>
  </si>
  <si>
    <t>show:46518</t>
  </si>
  <si>
    <t>Masters of the Air</t>
  </si>
  <si>
    <t>tt2640044</t>
  </si>
  <si>
    <t>46518</t>
  </si>
  <si>
    <t>aerial-combat-brotherhood</t>
  </si>
  <si>
    <t>military-drama; historical-miniseries; aviation-drama</t>
  </si>
  <si>
    <t>epic; intense; somber; immersive</t>
  </si>
  <si>
    <t>https://www.imdb.com/title/tt2640044/</t>
  </si>
  <si>
    <t>https://www.themoviedb.org/search?query=Masters%20of%20the%20Air%202024</t>
  </si>
  <si>
    <t>American bomber crews face loss, duty, and brotherhood during World War II.</t>
  </si>
  <si>
    <t>show:76231</t>
  </si>
  <si>
    <t>Mayans M.C.</t>
  </si>
  <si>
    <t>tt5715524</t>
  </si>
  <si>
    <t>76231</t>
  </si>
  <si>
    <t>brotherhood-and-outlaw-identity</t>
  </si>
  <si>
    <t>biker-drama; neo-western; family-drama</t>
  </si>
  <si>
    <t>gritty; violent; tense; character-driven</t>
  </si>
  <si>
    <t>https://www.imdb.com/title/tt5715524/</t>
  </si>
  <si>
    <t>https://www.themoviedb.org/search?query=Mayans%20M.C.%202018</t>
  </si>
  <si>
    <t>A prospect enters an outlaw motorcycle club while confronting family and divided loyalties.</t>
  </si>
  <si>
    <t>show:97951</t>
  </si>
  <si>
    <t>Mayor of Kingstown</t>
  </si>
  <si>
    <t>tt11712058</t>
  </si>
  <si>
    <t>97951</t>
  </si>
  <si>
    <t>incarceration-and-power</t>
  </si>
  <si>
    <t>prison-drama; political-thriller; neo-noir</t>
  </si>
  <si>
    <t>bleak; gritty; tense; violent</t>
  </si>
  <si>
    <t>https://www.imdb.com/title/tt11712058/</t>
  </si>
  <si>
    <t>https://www.themoviedb.org/search?query=Mayor%20of%20Kingstown%202021</t>
  </si>
  <si>
    <t>A family brokers power among prisons, police, criminals, and officials in a prison-centered town.</t>
  </si>
  <si>
    <t>movie:70</t>
  </si>
  <si>
    <t>Million Dollar Baby</t>
  </si>
  <si>
    <t>tt0405159</t>
  </si>
  <si>
    <t>70</t>
  </si>
  <si>
    <t>ambition-and-mercy</t>
  </si>
  <si>
    <t>boxing-drama; tragedy; character-drama</t>
  </si>
  <si>
    <t>emotional; tragic; intimate; inspirational</t>
  </si>
  <si>
    <t>https://www.imdb.com/title/tt0405159/</t>
  </si>
  <si>
    <t>https://www.themoviedb.org/search?query=Million%20Dollar%20Baby%202004</t>
  </si>
  <si>
    <t>A boxer and trainer pursue greatness before confronting disability, dignity, and mercy.</t>
  </si>
  <si>
    <t>show:67744</t>
  </si>
  <si>
    <t>Mindhunter</t>
  </si>
  <si>
    <t>tt5290382</t>
  </si>
  <si>
    <t>67744</t>
  </si>
  <si>
    <t>understanding-serial-killers</t>
  </si>
  <si>
    <t>psychological-thriller; police-procedural; historical-drama</t>
  </si>
  <si>
    <t>cerebral; unsettling; slow-burn; atmospheric</t>
  </si>
  <si>
    <t>https://www.imdb.com/title/tt5290382/</t>
  </si>
  <si>
    <t>https://www.themoviedb.org/search?query=Mindhunter%202017</t>
  </si>
  <si>
    <t>FBI agents develop behavioral profiling through interviews with serial killers.</t>
  </si>
  <si>
    <t>show:118303</t>
  </si>
  <si>
    <t>Minx</t>
  </si>
  <si>
    <t>tt11947418</t>
  </si>
  <si>
    <t>118303</t>
  </si>
  <si>
    <t>sexual-liberation-and-publishing</t>
  </si>
  <si>
    <t>workplace-comedy; period-comedy; feminist-comedy</t>
  </si>
  <si>
    <t>witty; playful; colorful; character-driven</t>
  </si>
  <si>
    <t>https://www.imdb.com/title/tt11947418/</t>
  </si>
  <si>
    <t>https://www.themoviedb.org/search?query=Minx%202022</t>
  </si>
  <si>
    <t>A feminist writer and publisher create a women-focused erotic magazine in the 1970s.</t>
  </si>
  <si>
    <t>movie:14292</t>
  </si>
  <si>
    <t>Miracle</t>
  </si>
  <si>
    <t>tt0349825</t>
  </si>
  <si>
    <t>14292</t>
  </si>
  <si>
    <t>teamwork-and-national-competition</t>
  </si>
  <si>
    <t>hockey-drama; biography; underdog-drama</t>
  </si>
  <si>
    <t>inspirational; uplifting; intense; patriotic</t>
  </si>
  <si>
    <t>https://www.imdb.com/title/tt0349825/</t>
  </si>
  <si>
    <t>https://www.themoviedb.org/search?query=Miracle%202004</t>
  </si>
  <si>
    <t>The U.S. hockey team builds discipline and unity before its 1980 Olympic upset.</t>
  </si>
  <si>
    <t>show:247718</t>
  </si>
  <si>
    <t>MobLand</t>
  </si>
  <si>
    <t>tt31510819</t>
  </si>
  <si>
    <t>247718</t>
  </si>
  <si>
    <t>organized-crime-family-war</t>
  </si>
  <si>
    <t>gangster; family-drama; crime-thriller</t>
  </si>
  <si>
    <t>dark; violent; tense; character-driven</t>
  </si>
  <si>
    <t>https://www.imdb.com/title/tt31510819/</t>
  </si>
  <si>
    <t>https://www.themoviedb.org/search?query=MobLand%202025</t>
  </si>
  <si>
    <t>Rival crime families and their fixer enter an escalating conflict.</t>
  </si>
  <si>
    <t>movie:396371</t>
  </si>
  <si>
    <t>Molly's Game</t>
  </si>
  <si>
    <t>tt4209788</t>
  </si>
  <si>
    <t>396371</t>
  </si>
  <si>
    <t>ambition-and-illegal-gambling</t>
  </si>
  <si>
    <t>crime-drama; legal-drama; gambling-drama</t>
  </si>
  <si>
    <t>sharp; fast-paced; stylish; character-driven</t>
  </si>
  <si>
    <t>https://www.imdb.com/title/tt4209788/</t>
  </si>
  <si>
    <t>https://www.themoviedb.org/search?query=Molly%27s%20Game%202017</t>
  </si>
  <si>
    <t>Molly Bloom builds an elite underground poker operation and faces federal prosecution.</t>
  </si>
  <si>
    <t>show:49011</t>
  </si>
  <si>
    <t>Mom</t>
  </si>
  <si>
    <t>tt2660806</t>
  </si>
  <si>
    <t>49011</t>
  </si>
  <si>
    <t>addiction-recovery-and-family</t>
  </si>
  <si>
    <t>recovery-comedy; family-comedy; sitcom</t>
  </si>
  <si>
    <t>heartfelt; witty; warm; candid</t>
  </si>
  <si>
    <t>https://www.imdb.com/title/tt2660806/</t>
  </si>
  <si>
    <t>https://www.themoviedb.org/search?query=Mom%202013</t>
  </si>
  <si>
    <t>A mother and daughter pursue sobriety while repairing family relationships.</t>
  </si>
  <si>
    <t>show:71446</t>
  </si>
  <si>
    <t>Money Heist</t>
  </si>
  <si>
    <t>tt6468322</t>
  </si>
  <si>
    <t>71446</t>
  </si>
  <si>
    <t>resistance-and-loyalty</t>
  </si>
  <si>
    <t>heist-thriller; ensemble-drama; hostage-drama</t>
  </si>
  <si>
    <t>tense; energetic; suspenseful; emotional</t>
  </si>
  <si>
    <t>https://www.imdb.com/title/tt6468322/</t>
  </si>
  <si>
    <t>https://www.themoviedb.org/search?query=Money%20Heist%202017</t>
  </si>
  <si>
    <t>A criminal team executes symbolic heists while loyalty and resistance bind the group.</t>
  </si>
  <si>
    <t>movie:60308</t>
  </si>
  <si>
    <t>Moneyball</t>
  </si>
  <si>
    <t>tt1210166</t>
  </si>
  <si>
    <t>60308</t>
  </si>
  <si>
    <t>data-driven-innovation</t>
  </si>
  <si>
    <t>baseball-drama; business-drama; biography</t>
  </si>
  <si>
    <t>cerebral; inspirational; witty; character-driven</t>
  </si>
  <si>
    <t>https://www.imdb.com/title/tt1210166/</t>
  </si>
  <si>
    <t>https://www.themoviedb.org/search?query=Moneyball%202011</t>
  </si>
  <si>
    <t>A baseball executive challenges conventional scouting through statistical analysis.</t>
  </si>
  <si>
    <t>movie:376867</t>
  </si>
  <si>
    <t>Moonlight</t>
  </si>
  <si>
    <t>tt4975722</t>
  </si>
  <si>
    <t>376867</t>
  </si>
  <si>
    <t>identity-and-intimacy</t>
  </si>
  <si>
    <t>coming-of-age; queer-drama; character-study</t>
  </si>
  <si>
    <t>intimate; lyrical; melancholic; tender</t>
  </si>
  <si>
    <t>https://www.imdb.com/title/tt4975722/</t>
  </si>
  <si>
    <t>https://www.themoviedb.org/search?query=Moonlight%202016</t>
  </si>
  <si>
    <t>A Black man’s childhood, adolescence, and adulthood reveal his search for identity and connection.</t>
  </si>
  <si>
    <t>show:70485</t>
  </si>
  <si>
    <t>Mr. Mercedes</t>
  </si>
  <si>
    <t>tt4354880</t>
  </si>
  <si>
    <t>70485</t>
  </si>
  <si>
    <t>detective-versus-killer</t>
  </si>
  <si>
    <t>serial-killer-thriller; detective-drama; psychological-thriller</t>
  </si>
  <si>
    <t>dark; tense; suspenseful; character-driven</t>
  </si>
  <si>
    <t>https://www.imdb.com/title/tt4354880/</t>
  </si>
  <si>
    <t>https://www.themoviedb.org/search?query=Mr.%20Mercedes%202017</t>
  </si>
  <si>
    <t>A retired detective is drawn into a psychological pursuit of a mass killer.</t>
  </si>
  <si>
    <t>show:62560</t>
  </si>
  <si>
    <t>Mr. Robot</t>
  </si>
  <si>
    <t>tt4158110</t>
  </si>
  <si>
    <t>62560</t>
  </si>
  <si>
    <t>alienation-and-corporate-control</t>
  </si>
  <si>
    <t>cyber-thriller; psychological-drama; conspiracy-drama</t>
  </si>
  <si>
    <t>cerebral; paranoid; dark; stylish</t>
  </si>
  <si>
    <t>https://www.imdb.com/title/tt4158110/</t>
  </si>
  <si>
    <t>https://www.themoviedb.org/search?query=Mr.%20Robot%202015</t>
  </si>
  <si>
    <t>A hacker battles corporate power while struggling with identity and unreliable perception.</t>
  </si>
  <si>
    <t>show:197548</t>
  </si>
  <si>
    <t>Mrs. Davis</t>
  </si>
  <si>
    <t>tt14759574</t>
  </si>
  <si>
    <t>197548</t>
  </si>
  <si>
    <t>faith-versus-artificial-intelligence</t>
  </si>
  <si>
    <t>science-fiction-comedy; adventure; religious-satire</t>
  </si>
  <si>
    <t>inventive; surreal; witty; philosophical</t>
  </si>
  <si>
    <t>https://www.imdb.com/title/tt14759574/</t>
  </si>
  <si>
    <t>https://www.themoviedb.org/search?query=Mrs.%20Davis%202023</t>
  </si>
  <si>
    <t>A nun challenges a powerful artificial intelligence in a quest shaped by faith and technology.</t>
  </si>
  <si>
    <t>show:76178</t>
  </si>
  <si>
    <t>My Next Guest Needs No Introduction With David Letterman</t>
  </si>
  <si>
    <t>tt7829834</t>
  </si>
  <si>
    <t>76178</t>
  </si>
  <si>
    <t>public-figure-conversations</t>
  </si>
  <si>
    <t>interview-series; talk-show</t>
  </si>
  <si>
    <t>reflective; conversational; warm; thoughtful</t>
  </si>
  <si>
    <t>https://www.imdb.com/title/tt7829834/</t>
  </si>
  <si>
    <t>https://www.themoviedb.org/search?query=My%20Next%20Guest%20Needs%20No%20Introduction%20With%20David%20Letterman%202018</t>
  </si>
  <si>
    <t>David Letterman conducts extended personal interviews with prominent guests.</t>
  </si>
  <si>
    <t>show:63351</t>
  </si>
  <si>
    <t>Narcos</t>
  </si>
  <si>
    <t>tt2707408</t>
  </si>
  <si>
    <t>63351</t>
  </si>
  <si>
    <t>drug-trafficking-and-state-power</t>
  </si>
  <si>
    <t>drug-crime; historical-drama; biographical-drama</t>
  </si>
  <si>
    <t>gritty; intense; suspenseful; procedural</t>
  </si>
  <si>
    <t>https://www.imdb.com/title/tt2707408/</t>
  </si>
  <si>
    <t>https://www.themoviedb.org/search?query=Narcos%202015</t>
  </si>
  <si>
    <t>Drug cartels and law enforcement struggle for power in Colombia.</t>
  </si>
  <si>
    <t>show:80968</t>
  </si>
  <si>
    <t>Narcos: Mexico</t>
  </si>
  <si>
    <t>tt8714904</t>
  </si>
  <si>
    <t>80968</t>
  </si>
  <si>
    <t>cartel-formation-and-corruption</t>
  </si>
  <si>
    <t>drug-crime; historical-drama; political-drama</t>
  </si>
  <si>
    <t>gritty; tense; violent; procedural</t>
  </si>
  <si>
    <t>https://www.imdb.com/title/tt8714904/</t>
  </si>
  <si>
    <t>https://www.themoviedb.org/search?query=Narcos%3A%20Mexico%202018</t>
  </si>
  <si>
    <t>Mexico’s modern drug trade emerges through cartel consolidation and institutional corruption.</t>
  </si>
  <si>
    <t>show:58957</t>
  </si>
  <si>
    <t>Nathan for You</t>
  </si>
  <si>
    <t>tt2297757</t>
  </si>
  <si>
    <t>58957</t>
  </si>
  <si>
    <t>business-advice-as-social-experiment</t>
  </si>
  <si>
    <t>reality-comedy; mockumentary; cringe-comedy</t>
  </si>
  <si>
    <t>deadpan; awkward; absurd; inventive</t>
  </si>
  <si>
    <t>https://www.imdb.com/title/tt2297757/</t>
  </si>
  <si>
    <t>https://www.themoviedb.org/search?query=Nathan%20for%20You%202013</t>
  </si>
  <si>
    <t>Nathan Fielder uses elaborate, impractical schemes to advise small businesses.</t>
  </si>
  <si>
    <t>show:1420</t>
  </si>
  <si>
    <t>New Girl</t>
  </si>
  <si>
    <t>tt1826940</t>
  </si>
  <si>
    <t>1420</t>
  </si>
  <si>
    <t>friendship-and-adult-relationships</t>
  </si>
  <si>
    <t>sitcom; ensemble-comedy; romantic-comedy</t>
  </si>
  <si>
    <t>warm; quirky; witty; playful</t>
  </si>
  <si>
    <t>https://www.imdb.com/title/tt1826940/</t>
  </si>
  <si>
    <t>https://www.themoviedb.org/search?query=New%20Girl%202011</t>
  </si>
  <si>
    <t>Roommates form a close community while navigating careers and romantic relationships.</t>
  </si>
  <si>
    <t>movie:6977</t>
  </si>
  <si>
    <t>No Country for Old Men</t>
  </si>
  <si>
    <t>tt0477348</t>
  </si>
  <si>
    <t>6977</t>
  </si>
  <si>
    <t>violence-and-moral-order</t>
  </si>
  <si>
    <t>neo-western; crime-thriller; philosophical-drama</t>
  </si>
  <si>
    <t>bleak; tense; atmospheric; restrained</t>
  </si>
  <si>
    <t>https://www.imdb.com/title/tt0477348/</t>
  </si>
  <si>
    <t>https://www.themoviedb.org/search?query=No%20Country%20for%20Old%20Men%202007</t>
  </si>
  <si>
    <t>A drug-money pursuit confronts a sheriff with violence that exceeds his moral framework.</t>
  </si>
  <si>
    <t>movie:615457</t>
  </si>
  <si>
    <t>Nobody</t>
  </si>
  <si>
    <t>tt7888964</t>
  </si>
  <si>
    <t>615457</t>
  </si>
  <si>
    <t>suppressed-violent-identity</t>
  </si>
  <si>
    <t>revenge-action; crime-thriller; dark-comedy</t>
  </si>
  <si>
    <t>violent; kinetic; darkly-comic; stylish</t>
  </si>
  <si>
    <t>https://www.imdb.com/title/tt7888964/</t>
  </si>
  <si>
    <t>https://www.themoviedb.org/search?query=Nobody%202021</t>
  </si>
  <si>
    <t>An underestimated family man reawakens a lethal past after a home invasion.</t>
  </si>
  <si>
    <t>show:250923</t>
  </si>
  <si>
    <t>Nobody Wants This</t>
  </si>
  <si>
    <t>tt26933824</t>
  </si>
  <si>
    <t>250923</t>
  </si>
  <si>
    <t>interfaith-romance</t>
  </si>
  <si>
    <t>romantic-comedy; relationship-comedy</t>
  </si>
  <si>
    <t>witty; warm; heartfelt; playful</t>
  </si>
  <si>
    <t>https://www.imdb.com/title/tt26933824/</t>
  </si>
  <si>
    <t>https://www.themoviedb.org/search?query=Nobody%20Wants%20This%202024</t>
  </si>
  <si>
    <t>An agnostic podcaster and a rabbi navigate love across cultural and religious differences.</t>
  </si>
  <si>
    <t>movie:581734</t>
  </si>
  <si>
    <t>Nomadland</t>
  </si>
  <si>
    <t>tt9770150</t>
  </si>
  <si>
    <t>581734</t>
  </si>
  <si>
    <t>economic-displacement-and-community</t>
  </si>
  <si>
    <t>road-movie; social-realism; character-study</t>
  </si>
  <si>
    <t>reflective; melancholic; intimate; naturalistic</t>
  </si>
  <si>
    <t>https://www.imdb.com/title/tt9770150/</t>
  </si>
  <si>
    <t>https://www.themoviedb.org/search?query=Nomadland%202021</t>
  </si>
  <si>
    <t>A widow living as a modern nomad finds community amid economic precarity.</t>
  </si>
  <si>
    <t>show:89905</t>
  </si>
  <si>
    <t>Normal People</t>
  </si>
  <si>
    <t>tt9059760</t>
  </si>
  <si>
    <t>89905</t>
  </si>
  <si>
    <t>intimacy-and-class</t>
  </si>
  <si>
    <t>romantic-drama; coming-of-age; literary-adaptation</t>
  </si>
  <si>
    <t>intimate; emotional; melancholic; character-driven</t>
  </si>
  <si>
    <t>https://www.imdb.com/title/tt9059760/</t>
  </si>
  <si>
    <t>https://www.themoviedb.org/search?query=Normal%20People%202020</t>
  </si>
  <si>
    <t>Two young people repeatedly reconnect as class, insecurity, and communication shape their bond.</t>
  </si>
  <si>
    <t>movie:1214931</t>
  </si>
  <si>
    <t>Nuremberg</t>
  </si>
  <si>
    <t>tt29567915</t>
  </si>
  <si>
    <t>1214931</t>
  </si>
  <si>
    <t>justice-after-genocide</t>
  </si>
  <si>
    <t>historical-drama; courtroom-drama; psychological-drama</t>
  </si>
  <si>
    <t>serious; tense; cerebral; somber</t>
  </si>
  <si>
    <t>https://www.imdb.com/title/tt29567915/</t>
  </si>
  <si>
    <t>https://www.themoviedb.org/search?query=Nuremberg%202025</t>
  </si>
  <si>
    <t>Allied prosecutors and mental-health experts confront Nazi leaders during the Nuremberg trials.</t>
  </si>
  <si>
    <t>movie:1339713</t>
  </si>
  <si>
    <t>Obsession</t>
  </si>
  <si>
    <t>tt37287335</t>
  </si>
  <si>
    <t>1339713</t>
  </si>
  <si>
    <t>romantic-fixation</t>
  </si>
  <si>
    <t>romantic-drama; psychological-drama</t>
  </si>
  <si>
    <t>intense; intimate; obsessive; character-driven</t>
  </si>
  <si>
    <t>https://www.imdb.com/title/tt37287335/</t>
  </si>
  <si>
    <t>https://www.themoviedb.org/search?query=Obsession%202026</t>
  </si>
  <si>
    <t>A relationship becomes defined by consuming fixation and emotional dependence.</t>
  </si>
  <si>
    <t>movie:11635</t>
  </si>
  <si>
    <t>Old School</t>
  </si>
  <si>
    <t>tt0302886</t>
  </si>
  <si>
    <t>11635</t>
  </si>
  <si>
    <t>resisting-adulthood</t>
  </si>
  <si>
    <t>bro-comedy; campus-comedy; buddy-comedy</t>
  </si>
  <si>
    <t>raunchy; absurd; energetic; nostalgic</t>
  </si>
  <si>
    <t>https://www.imdb.com/title/tt0302886/</t>
  </si>
  <si>
    <t>https://www.themoviedb.org/search?query=Old%20School%202003</t>
  </si>
  <si>
    <t>Middle-aged friends create a fraternity to recapture youth and avoid adult responsibility.</t>
  </si>
  <si>
    <t>movie:466272</t>
  </si>
  <si>
    <t>Once Upon a Time... in Hollywood</t>
  </si>
  <si>
    <t>tt7131622</t>
  </si>
  <si>
    <t>466272</t>
  </si>
  <si>
    <t>hollywood-change-and-friendship</t>
  </si>
  <si>
    <t>period-comedy; show-business-drama; alternate-history</t>
  </si>
  <si>
    <t>nostalgic; leisurely; stylish; bittersweet</t>
  </si>
  <si>
    <t>https://www.imdb.com/title/tt7131622/</t>
  </si>
  <si>
    <t>https://www.themoviedb.org/search?query=Once%20Upon%20a%20Time...%20in%20Hollywood%202019</t>
  </si>
  <si>
    <t>An actor and stuntman face a changing Hollywood at the end of the 1960s.</t>
  </si>
  <si>
    <t>movie:1054867</t>
  </si>
  <si>
    <t>One Battle After Another</t>
  </si>
  <si>
    <t>tt30144839</t>
  </si>
  <si>
    <t>1054867</t>
  </si>
  <si>
    <t>revolutionary-past-and-family</t>
  </si>
  <si>
    <t>political-action; black-comedy; chase-film</t>
  </si>
  <si>
    <t>chaotic; satirical; intense; energetic</t>
  </si>
  <si>
    <t>https://www.imdb.com/title/tt30144839/</t>
  </si>
  <si>
    <t>https://www.themoviedb.org/search?query=One%20Battle%20After%20Another%202025</t>
  </si>
  <si>
    <t>A former revolutionary confronts his past while trying to protect his daughter.</t>
  </si>
  <si>
    <t>show:240667</t>
  </si>
  <si>
    <t>One Day</t>
  </si>
  <si>
    <t>tt16283804</t>
  </si>
  <si>
    <t>240667</t>
  </si>
  <si>
    <t>love-across-time</t>
  </si>
  <si>
    <t>romantic-drama; literary-adaptation; bittersweet-romance</t>
  </si>
  <si>
    <t>intimate; bittersweet; emotional; nostalgic</t>
  </si>
  <si>
    <t>https://www.imdb.com/title/tt16283804/</t>
  </si>
  <si>
    <t>https://www.themoviedb.org/search?query=One%20Day%202024</t>
  </si>
  <si>
    <t>Two people’s relationship is revisited on the same date across many years.</t>
  </si>
  <si>
    <t>movie:872585</t>
  </si>
  <si>
    <t>Oppenheimer</t>
  </si>
  <si>
    <t>tt15398776</t>
  </si>
  <si>
    <t>872585</t>
  </si>
  <si>
    <t>scientific-responsibility</t>
  </si>
  <si>
    <t>historical-drama; science-drama; political-drama</t>
  </si>
  <si>
    <t>cerebral; intense; ominous; epic</t>
  </si>
  <si>
    <t>https://www.imdb.com/title/tt15398776/</t>
  </si>
  <si>
    <t>https://www.themoviedb.org/search?query=Oppenheimer%202023</t>
  </si>
  <si>
    <t>The atomic-bomb project and its aftermath force Oppenheimer to confront power and responsibility.</t>
  </si>
  <si>
    <t>show:109939</t>
  </si>
  <si>
    <t>Our Flag Means Death</t>
  </si>
  <si>
    <t>tt11000902</t>
  </si>
  <si>
    <t>109939</t>
  </si>
  <si>
    <t>identity-and-found-family</t>
  </si>
  <si>
    <t>18th-century</t>
  </si>
  <si>
    <t>romantic-comedy; pirate-adventure; workplace-comedy</t>
  </si>
  <si>
    <t>warm; witty; irreverent; heartfelt</t>
  </si>
  <si>
    <t>https://www.imdb.com/title/tt11000902/</t>
  </si>
  <si>
    <t>https://www.themoviedb.org/search?query=Our%20Flag%20Means%20Death%202022</t>
  </si>
  <si>
    <t>An inexperienced pirate captain builds an unconventional crew and relationship with Blackbeard.</t>
  </si>
  <si>
    <t>show:113985</t>
  </si>
  <si>
    <t>Outer Range</t>
  </si>
  <si>
    <t>tt11685912</t>
  </si>
  <si>
    <t>113985</t>
  </si>
  <si>
    <t>land-family-and-the-unknown</t>
  </si>
  <si>
    <t>neo-western; mystery-drama; time-travel</t>
  </si>
  <si>
    <t>atmospheric; ominous; slow-burn; surreal</t>
  </si>
  <si>
    <t>https://www.imdb.com/title/tt11685912/</t>
  </si>
  <si>
    <t>https://www.themoviedb.org/search?query=Outer%20Range%202022</t>
  </si>
  <si>
    <t>A ranching family fights for land while a mysterious void disrupts time and reality.</t>
  </si>
  <si>
    <t>show:3322</t>
  </si>
  <si>
    <t>Oz</t>
  </si>
  <si>
    <t>1997</t>
  </si>
  <si>
    <t>tt0118421</t>
  </si>
  <si>
    <t>3322</t>
  </si>
  <si>
    <t>incarceration-and-institutional-violence</t>
  </si>
  <si>
    <t>prison-drama; ensemble-drama; social-drama</t>
  </si>
  <si>
    <t>bleak; brutal; intense; claustrophobic</t>
  </si>
  <si>
    <t>https://www.imdb.com/title/tt0118421/</t>
  </si>
  <si>
    <t>https://www.themoviedb.org/search?query=Oz%201997</t>
  </si>
  <si>
    <t>Prisoners and staff struggle for power and survival inside a violent correctional institution.</t>
  </si>
  <si>
    <t>show:69740</t>
  </si>
  <si>
    <t>Ozark</t>
  </si>
  <si>
    <t>tt5071412</t>
  </si>
  <si>
    <t>69740</t>
  </si>
  <si>
    <t>family-complicity-in-crime</t>
  </si>
  <si>
    <t>drug-crime; family-drama; neo-noir</t>
  </si>
  <si>
    <t>dark; tense; atmospheric; character-driven</t>
  </si>
  <si>
    <t>https://www.imdb.com/title/tt5071412/</t>
  </si>
  <si>
    <t>https://www.themoviedb.org/search?query=Ozark%202017</t>
  </si>
  <si>
    <t>A family becomes increasingly complicit in laundering money for a drug cartel.</t>
  </si>
  <si>
    <t>show:110382</t>
  </si>
  <si>
    <t>Pachinko</t>
  </si>
  <si>
    <t>tt8888462</t>
  </si>
  <si>
    <t>110382</t>
  </si>
  <si>
    <t>immigration-and-family-survival</t>
  </si>
  <si>
    <t>family-saga; historical-drama; immigrant-drama</t>
  </si>
  <si>
    <t>epic; emotional; poignant; resilient</t>
  </si>
  <si>
    <t>https://www.imdb.com/title/tt8888462/</t>
  </si>
  <si>
    <t>https://www.themoviedb.org/search?query=Pachinko%202022</t>
  </si>
  <si>
    <t>Immigration and family survival is the central narrative concern based on the title synopsis and classification sources.</t>
  </si>
  <si>
    <t>Medium</t>
  </si>
  <si>
    <t>show:158083</t>
  </si>
  <si>
    <t>Painkiller</t>
  </si>
  <si>
    <t>tt11816814</t>
  </si>
  <si>
    <t>158083</t>
  </si>
  <si>
    <t>serious; unsettling; enraging; character-driven</t>
  </si>
  <si>
    <t>https://www.imdb.com/title/tt11816814/</t>
  </si>
  <si>
    <t>https://www.themoviedb.org/search?query=Painkiller%202023</t>
  </si>
  <si>
    <t>Opioid epidemic is the central narrative concern based on the title synopsis and classification sources.</t>
  </si>
  <si>
    <t>show:114925</t>
  </si>
  <si>
    <t>Pam &amp; Tommy</t>
  </si>
  <si>
    <t>tt13659418</t>
  </si>
  <si>
    <t>114925</t>
  </si>
  <si>
    <t>privacy-and-celebrity-exploitation</t>
  </si>
  <si>
    <t>biographical-drama; media-satire; relationship-drama</t>
  </si>
  <si>
    <t>energetic; provocative; bittersweet; satirical</t>
  </si>
  <si>
    <t>https://www.imdb.com/title/tt13659418/</t>
  </si>
  <si>
    <t>https://www.themoviedb.org/search?query=Pam%20%26%20Tommy%202022</t>
  </si>
  <si>
    <t>Privacy and celebrity exploitation is the central narrative concern based on the title synopsis and classification sources.</t>
  </si>
  <si>
    <t>show:245927</t>
  </si>
  <si>
    <t>Paradise</t>
  </si>
  <si>
    <t>tt27444205</t>
  </si>
  <si>
    <t>245927</t>
  </si>
  <si>
    <t>political-conspiracy-and-survival</t>
  </si>
  <si>
    <t>political-thriller; mystery-drama; dystopian</t>
  </si>
  <si>
    <t>tense; twisty; suspenseful; character-driven</t>
  </si>
  <si>
    <t>https://www.imdb.com/title/tt27444205/</t>
  </si>
  <si>
    <t>https://www.themoviedb.org/search?query=Paradise%202025</t>
  </si>
  <si>
    <t>Political conspiracy and survival is the central narrative concern based on the title synopsis and classification sources.</t>
  </si>
  <si>
    <t>Batch 07</t>
  </si>
  <si>
    <t>movie:496243</t>
  </si>
  <si>
    <t>Parasite</t>
  </si>
  <si>
    <t>tt6751668</t>
  </si>
  <si>
    <t>496243</t>
  </si>
  <si>
    <t>class-inequality</t>
  </si>
  <si>
    <t>social-thriller; dark-comedy; family-drama</t>
  </si>
  <si>
    <t>satirical; tense; dark; twisty</t>
  </si>
  <si>
    <t>https://www.imdb.com/title/tt6751668/</t>
  </si>
  <si>
    <t>https://www.themoviedb.org/search?query=Parasite%202019</t>
  </si>
  <si>
    <t>Class inequality is the central narrative concern based on the title synopsis and classification sources.</t>
  </si>
  <si>
    <t>show:8592</t>
  </si>
  <si>
    <t>Parks and Recreation</t>
  </si>
  <si>
    <t>2009</t>
  </si>
  <si>
    <t>tt1266020</t>
  </si>
  <si>
    <t>8592</t>
  </si>
  <si>
    <t>public-service-and-community</t>
  </si>
  <si>
    <t>optimistic; witty; warm; heartfelt</t>
  </si>
  <si>
    <t>https://www.imdb.com/title/tt1266020/</t>
  </si>
  <si>
    <t>https://www.themoviedb.org/search?query=Parks%20and%20Recreation%202009</t>
  </si>
  <si>
    <t>Public service and community is the central narrative concern based on the title synopsis and classification sources.</t>
  </si>
  <si>
    <t>movie:274870</t>
  </si>
  <si>
    <t>Passengers</t>
  </si>
  <si>
    <t>tt1355644</t>
  </si>
  <si>
    <t>274870</t>
  </si>
  <si>
    <t>isolation-and-consent</t>
  </si>
  <si>
    <t>space-romance; survival-drama; adventure</t>
  </si>
  <si>
    <t>romantic; atmospheric; emotional; suspenseful</t>
  </si>
  <si>
    <t>https://www.imdb.com/title/tt1355644/</t>
  </si>
  <si>
    <t>https://www.themoviedb.org/search?query=Passengers%202016</t>
  </si>
  <si>
    <t>Isolation and consent is the central narrative concern based on the title synopsis and classification sources.</t>
  </si>
  <si>
    <t>movie:666277</t>
  </si>
  <si>
    <t>Past Lives</t>
  </si>
  <si>
    <t>tt13238346</t>
  </si>
  <si>
    <t>666277</t>
  </si>
  <si>
    <t>love-and-unlived-possibilities</t>
  </si>
  <si>
    <t>romantic-drama; immigrant-drama; character-study</t>
  </si>
  <si>
    <t>intimate; reflective; melancholic; restrained</t>
  </si>
  <si>
    <t>https://www.imdb.com/title/tt13238346/</t>
  </si>
  <si>
    <t>https://www.themoviedb.org/search?query=Past%20Lives%202023</t>
  </si>
  <si>
    <t>Love and unlived possibilities is the central narrative concern based on the title synopsis and classification sources.</t>
  </si>
  <si>
    <t>movie:388399</t>
  </si>
  <si>
    <t>Patriots Day</t>
  </si>
  <si>
    <t>tt4572514</t>
  </si>
  <si>
    <t>388399</t>
  </si>
  <si>
    <t>terrorism-response-and-community-resilience</t>
  </si>
  <si>
    <t>historical-thriller; police-procedural; docudrama</t>
  </si>
  <si>
    <t>intense; somber; suspenseful; resolute</t>
  </si>
  <si>
    <t>https://www.imdb.com/title/tt4572514/</t>
  </si>
  <si>
    <t>https://www.themoviedb.org/search?query=Patriots%20Day%202016</t>
  </si>
  <si>
    <t>Terrorism response and community resilience is the central narrative concern based on the title synopsis and classification sources.</t>
  </si>
  <si>
    <t>show:60574</t>
  </si>
  <si>
    <t>Peaky Blinders</t>
  </si>
  <si>
    <t>tt2442560</t>
  </si>
  <si>
    <t>60574</t>
  </si>
  <si>
    <t>criminal-ambition-and-family</t>
  </si>
  <si>
    <t>gangster; historical-drama; family-saga</t>
  </si>
  <si>
    <t>stylish; gritty; intense; atmospheric</t>
  </si>
  <si>
    <t>https://www.imdb.com/title/tt2442560/</t>
  </si>
  <si>
    <t>https://www.themoviedb.org/search?query=Peaky%20Blinders%202013</t>
  </si>
  <si>
    <t>Criminal ambition and family is the central narrative concern based on the title synopsis and classification sources.</t>
  </si>
  <si>
    <t>show:85853</t>
  </si>
  <si>
    <t>Perry Mason</t>
  </si>
  <si>
    <t>tt2077823</t>
  </si>
  <si>
    <t>85853</t>
  </si>
  <si>
    <t>justice-and-institutional-corruption</t>
  </si>
  <si>
    <t>legal-drama; detective-noir; period-drama</t>
  </si>
  <si>
    <t>atmospheric; gritty; cerebral; slow-burn</t>
  </si>
  <si>
    <t>https://www.imdb.com/title/tt2077823/</t>
  </si>
  <si>
    <t>https://www.themoviedb.org/search?query=Perry%20Mason%202020</t>
  </si>
  <si>
    <t>Justice and institutional corruption is the central narrative concern based on the title synopsis and classification sources.</t>
  </si>
  <si>
    <t>movie:114150</t>
  </si>
  <si>
    <t>Pitch Perfect</t>
  </si>
  <si>
    <t>tt1981677</t>
  </si>
  <si>
    <t>114150</t>
  </si>
  <si>
    <t>belonging-through-performance</t>
  </si>
  <si>
    <t>musical-comedy; college-comedy; competition-film</t>
  </si>
  <si>
    <t>energetic; witty; uplifting; playful</t>
  </si>
  <si>
    <t>https://www.imdb.com/title/tt1981677/</t>
  </si>
  <si>
    <t>https://www.themoviedb.org/search?query=Pitch%20Perfect%202012</t>
  </si>
  <si>
    <t>Belonging through performance is the central narrative concern based on the title synopsis and classification sources.</t>
  </si>
  <si>
    <t>movie:254470</t>
  </si>
  <si>
    <t>Pitch Perfect 2</t>
  </si>
  <si>
    <t>tt2848292</t>
  </si>
  <si>
    <t>254470</t>
  </si>
  <si>
    <t>team-redemption</t>
  </si>
  <si>
    <t>musical-comedy; competition-film; ensemble-comedy</t>
  </si>
  <si>
    <t>energetic; uplifting; playful; heartfelt</t>
  </si>
  <si>
    <t>https://www.imdb.com/title/tt2848292/</t>
  </si>
  <si>
    <t>https://www.themoviedb.org/search?query=Pitch%20Perfect%202%202015</t>
  </si>
  <si>
    <t>Team redemption is the central narrative concern based on the title synopsis and classification sources.</t>
  </si>
  <si>
    <t>movie:353616</t>
  </si>
  <si>
    <t>Pitch Perfect 3</t>
  </si>
  <si>
    <t>tt4765284</t>
  </si>
  <si>
    <t>353616</t>
  </si>
  <si>
    <t>friendship-after-college</t>
  </si>
  <si>
    <t>musical-comedy; road-comedy; ensemble-comedy</t>
  </si>
  <si>
    <t>energetic; nostalgic; playful; heartfelt</t>
  </si>
  <si>
    <t>https://www.imdb.com/title/tt4765284/</t>
  </si>
  <si>
    <t>https://www.themoviedb.org/search?query=Pitch%20Perfect%203%202017</t>
  </si>
  <si>
    <t>Friendship after college is the central narrative concern based on the title synopsis and classification sources.</t>
  </si>
  <si>
    <t>show:112211</t>
  </si>
  <si>
    <t>Platonic</t>
  </si>
  <si>
    <t>tt13366604</t>
  </si>
  <si>
    <t>112211</t>
  </si>
  <si>
    <t>adult-friendship</t>
  </si>
  <si>
    <t>friendship-comedy; relationship-comedy; sitcom</t>
  </si>
  <si>
    <t>witty; warm; chaotic; character-driven</t>
  </si>
  <si>
    <t>https://www.imdb.com/title/tt13366604/</t>
  </si>
  <si>
    <t>https://www.themoviedb.org/search?query=Platonic%202023</t>
  </si>
  <si>
    <t>Adult friendship is the central narrative concern based on the title synopsis and classification sources.</t>
  </si>
  <si>
    <t>show:225171</t>
  </si>
  <si>
    <t>Pluribus</t>
  </si>
  <si>
    <t>tt22202452</t>
  </si>
  <si>
    <t>225171</t>
  </si>
  <si>
    <t>individuality-versus-collective-happiness</t>
  </si>
  <si>
    <t>post-apocalyptic; dark-comedy; psychological-thriller</t>
  </si>
  <si>
    <t>cerebral; unsettling; satirical; offbeat</t>
  </si>
  <si>
    <t>https://www.imdb.com/title/tt22202452/</t>
  </si>
  <si>
    <t>https://www.themoviedb.org/search?query=Pluribus%202025</t>
  </si>
  <si>
    <t>Individuality versus collective happiness is the central narrative concern based on the title synopsis and classification sources.</t>
  </si>
  <si>
    <t>show:120998</t>
  </si>
  <si>
    <t>Poker Face</t>
  </si>
  <si>
    <t>tt14269590</t>
  </si>
  <si>
    <t>120998</t>
  </si>
  <si>
    <t>truth-detection-and-justice</t>
  </si>
  <si>
    <t>howcatchem; road-mystery; comedy-drama</t>
  </si>
  <si>
    <t>witty; clever; episodic; lighthearted</t>
  </si>
  <si>
    <t>https://www.imdb.com/title/tt14269590/</t>
  </si>
  <si>
    <t>https://www.themoviedb.org/search?query=Poker%20Face%202023</t>
  </si>
  <si>
    <t>Truth detection and justice is the central narrative concern based on the title synopsis and classification sources.</t>
  </si>
  <si>
    <t>movie:792307</t>
  </si>
  <si>
    <t>Poor Things</t>
  </si>
  <si>
    <t>tt14230458</t>
  </si>
  <si>
    <t>792307</t>
  </si>
  <si>
    <t>female-autonomy-and-self-discovery</t>
  </si>
  <si>
    <t>absurdist-fantasy; coming-of-age; black-comedy</t>
  </si>
  <si>
    <t>surreal; provocative; whimsical; visually-rich</t>
  </si>
  <si>
    <t>https://www.imdb.com/title/tt14230458/</t>
  </si>
  <si>
    <t>https://www.themoviedb.org/search?query=Poor%20Things%202023</t>
  </si>
  <si>
    <t>Female autonomy and self discovery is the central narrative concern based on the title synopsis and classification sources.</t>
  </si>
  <si>
    <t>show:156933</t>
  </si>
  <si>
    <t>Presumed Innocent</t>
  </si>
  <si>
    <t>tt17677860</t>
  </si>
  <si>
    <t>156933</t>
  </si>
  <si>
    <t>guilt-and-marital-secrets</t>
  </si>
  <si>
    <t>legal-thriller; murder-mystery; psychological-drama</t>
  </si>
  <si>
    <t>tense; twisty; polished; suspenseful</t>
  </si>
  <si>
    <t>https://www.imdb.com/title/tt17677860/</t>
  </si>
  <si>
    <t>https://www.themoviedb.org/search?query=Presumed%20Innocent%202024</t>
  </si>
  <si>
    <t>Guilt and marital secrets is the central narrative concern based on the title synopsis and classification sources.</t>
  </si>
  <si>
    <t>show:137252</t>
  </si>
  <si>
    <t>Primo</t>
  </si>
  <si>
    <t>tt14584394</t>
  </si>
  <si>
    <t>137252</t>
  </si>
  <si>
    <t>family-guidance-and-growing-up</t>
  </si>
  <si>
    <t>coming-of-age; family-comedy; sitcom</t>
  </si>
  <si>
    <t>warm; heartfelt; witty; optimistic</t>
  </si>
  <si>
    <t>https://www.imdb.com/title/tt14584394/</t>
  </si>
  <si>
    <t>https://www.themoviedb.org/search?query=Primo%202023</t>
  </si>
  <si>
    <t>Family guidance and growing up is the central narrative concern based on the title synopsis and classification sources.</t>
  </si>
  <si>
    <t>movie:582014</t>
  </si>
  <si>
    <t>Promising Young Woman</t>
  </si>
  <si>
    <t>tt9620292</t>
  </si>
  <si>
    <t>582014</t>
  </si>
  <si>
    <t>accountability-for-abuse</t>
  </si>
  <si>
    <t>revenge-thriller; black-comedy; social-thriller</t>
  </si>
  <si>
    <t>provocative; dark; stylish; unsettling</t>
  </si>
  <si>
    <t>https://www.imdb.com/title/tt9620292/</t>
  </si>
  <si>
    <t>https://www.themoviedb.org/search?query=Promising%20Young%20Woman%202020</t>
  </si>
  <si>
    <t>Accountability for abuse is the central narrative concern based on the title synopsis and classification sources.</t>
  </si>
  <si>
    <t>show:156819</t>
  </si>
  <si>
    <t>Rabbit Hole</t>
  </si>
  <si>
    <t>tt5822112</t>
  </si>
  <si>
    <t>156819</t>
  </si>
  <si>
    <t>disinformation-and-surveillance</t>
  </si>
  <si>
    <t>conspiracy-thriller; espionage-drama; techno-thriller</t>
  </si>
  <si>
    <t>twisty; paranoid; tense; suspenseful</t>
  </si>
  <si>
    <t>https://www.imdb.com/title/tt5822112/</t>
  </si>
  <si>
    <t>https://www.themoviedb.org/search?query=Rabbit%20Hole%202023</t>
  </si>
  <si>
    <t>Disinformation and surveillance is the central narrative concern based on the title synopsis and classification sources.</t>
  </si>
  <si>
    <t>show:240993</t>
  </si>
  <si>
    <t>Ransom Canyon</t>
  </si>
  <si>
    <t>tt28088031</t>
  </si>
  <si>
    <t>240993</t>
  </si>
  <si>
    <t>land-legacy-and-romance</t>
  </si>
  <si>
    <t>neo-western; romantic-drama; family-drama</t>
  </si>
  <si>
    <t>romantic; emotional; scenic; character-driven</t>
  </si>
  <si>
    <t>https://www.imdb.com/title/tt28088031/</t>
  </si>
  <si>
    <t>https://www.themoviedb.org/search?query=Ransom%20Canyon%202025</t>
  </si>
  <si>
    <t>Land legacy and romance is the central narrative concern based on the title synopsis and classification sources.</t>
  </si>
  <si>
    <t>show:1423</t>
  </si>
  <si>
    <t>Ray Donovan</t>
  </si>
  <si>
    <t>tt2249007</t>
  </si>
  <si>
    <t>1423</t>
  </si>
  <si>
    <t>family-loyalty-and-violence</t>
  </si>
  <si>
    <t>fixer-drama; family-drama; neo-noir</t>
  </si>
  <si>
    <t>gritty; dark; intense; character-driven</t>
  </si>
  <si>
    <t>https://www.imdb.com/title/tt2249007/</t>
  </si>
  <si>
    <t>https://www.themoviedb.org/search?query=Ray%20Donovan%202013</t>
  </si>
  <si>
    <t>Family loyalty and violence is the central narrative concern based on the title synopsis and classification sources.</t>
  </si>
  <si>
    <t>show:108978</t>
  </si>
  <si>
    <t>Reacher</t>
  </si>
  <si>
    <t>tt9288030</t>
  </si>
  <si>
    <t>108978</t>
  </si>
  <si>
    <t>crime-thriller; detective-action; conspiracy-thriller</t>
  </si>
  <si>
    <t>intense; suspenseful; methodical; gritty</t>
  </si>
  <si>
    <t>https://www.imdb.com/title/tt9288030/</t>
  </si>
  <si>
    <t>https://www.themoviedb.org/search?query=Reacher%202022</t>
  </si>
  <si>
    <t>Vigilante justice is the central narrative concern based on the title synopsis and classification sources.</t>
  </si>
  <si>
    <t>movie:333339</t>
  </si>
  <si>
    <t>Ready Player One</t>
  </si>
  <si>
    <t>tt1677720</t>
  </si>
  <si>
    <t>333339</t>
  </si>
  <si>
    <t>virtual-reality-and-corporate-control</t>
  </si>
  <si>
    <t>virtual-reality; adventure; dystopian</t>
  </si>
  <si>
    <t>energetic; nostalgic; adventurous; spectacular</t>
  </si>
  <si>
    <t>https://www.imdb.com/title/tt1677720/</t>
  </si>
  <si>
    <t>https://www.themoviedb.org/search?query=Ready%20Player%20One%202018</t>
  </si>
  <si>
    <t>Virtual reality and corporate control is the central narrative concern based on the title synopsis and classification sources.</t>
  </si>
  <si>
    <t>movie:646097</t>
  </si>
  <si>
    <t>Rebel Ridge</t>
  </si>
  <si>
    <t>tt11301886</t>
  </si>
  <si>
    <t>646097</t>
  </si>
  <si>
    <t>police-corruption-and-civil-forfeiture</t>
  </si>
  <si>
    <t>action-thriller; small-town-crime; institutional-thriller</t>
  </si>
  <si>
    <t>tense; gritty; restrained; suspenseful</t>
  </si>
  <si>
    <t>https://www.imdb.com/title/tt11301886/</t>
  </si>
  <si>
    <t>https://www.themoviedb.org/search?query=Rebel%20Ridge%202024</t>
  </si>
  <si>
    <t>Police corruption and civil forfeiture is the central narrative concern based on the title synopsis and classification sources.</t>
  </si>
  <si>
    <t>movie:1330021</t>
  </si>
  <si>
    <t>Remarkably Bright Creatures</t>
  </si>
  <si>
    <t>tt33100314</t>
  </si>
  <si>
    <t>1330021</t>
  </si>
  <si>
    <t>grief-and-unlikely-connection</t>
  </si>
  <si>
    <t>family-drama; animal-companion-drama; mystery-drama</t>
  </si>
  <si>
    <t>warm; heartfelt; reflective; hopeful</t>
  </si>
  <si>
    <t>https://www.imdb.com/title/tt33100314/</t>
  </si>
  <si>
    <t>https://www.themoviedb.org/search?query=Remarkably%20Bright%20Creatures%202026</t>
  </si>
  <si>
    <t>Grief and unlikely connection is the central narrative concern based on the title synopsis and classification sources.</t>
  </si>
  <si>
    <t>show:95215</t>
  </si>
  <si>
    <t>Reservation Dogs</t>
  </si>
  <si>
    <t>tt13623580</t>
  </si>
  <si>
    <t>95215</t>
  </si>
  <si>
    <t>indigenous-youth-and-belonging</t>
  </si>
  <si>
    <t>coming-of-age; community-comedy; dramedy</t>
  </si>
  <si>
    <t>warm; funny; poignant; character-driven</t>
  </si>
  <si>
    <t>https://www.imdb.com/title/tt13623580/</t>
  </si>
  <si>
    <t>https://www.themoviedb.org/search?query=Reservation%20Dogs%202021</t>
  </si>
  <si>
    <t>Indigenous youth and belonging is the central narrative concern based on the title synopsis and classification sources.</t>
  </si>
  <si>
    <t>movie:4148</t>
  </si>
  <si>
    <t>Revolutionary Road</t>
  </si>
  <si>
    <t>tt0959337</t>
  </si>
  <si>
    <t>4148</t>
  </si>
  <si>
    <t>marital-disillusionment</t>
  </si>
  <si>
    <t>marriage-drama; period-drama; tragedy</t>
  </si>
  <si>
    <t>bleak; intimate; intense; tragic</t>
  </si>
  <si>
    <t>https://www.imdb.com/title/tt0959337/</t>
  </si>
  <si>
    <t>https://www.themoviedb.org/search?query=Revolutionary%20Road%202008</t>
  </si>
  <si>
    <t>Marital disillusionment is the central narrative concern based on the title synopsis and classification sources.</t>
  </si>
  <si>
    <t>show:94028</t>
  </si>
  <si>
    <t>RIPLEY</t>
  </si>
  <si>
    <t>tt11016042</t>
  </si>
  <si>
    <t>94028</t>
  </si>
  <si>
    <t>identity-theft-and-ambition</t>
  </si>
  <si>
    <t>psychological-thriller; neo-noir; period-drama</t>
  </si>
  <si>
    <t>stylish; ominous; slow-burn; meticulous</t>
  </si>
  <si>
    <t>https://www.imdb.com/title/tt11016042/</t>
  </si>
  <si>
    <t>https://www.themoviedb.org/search?query=RIPLEY%202024</t>
  </si>
  <si>
    <t>Identity theft and ambition is the central narrative concern based on the title synopsis and classification sources.</t>
  </si>
  <si>
    <t>movie:504608</t>
  </si>
  <si>
    <t>Rocketman</t>
  </si>
  <si>
    <t>tt2066051</t>
  </si>
  <si>
    <t>504608</t>
  </si>
  <si>
    <t>fame-addiction-and-recovery</t>
  </si>
  <si>
    <t>music-biography; musical-drama; recovery-drama</t>
  </si>
  <si>
    <t>energetic; emotional; flamboyant; inspirational</t>
  </si>
  <si>
    <t>https://www.imdb.com/title/tt2066051/</t>
  </si>
  <si>
    <t>https://www.themoviedb.org/search?query=Rocketman%202019</t>
  </si>
  <si>
    <t>Fame addiction and recovery is the central narrative concern based on the title synopsis and classification sources.</t>
  </si>
  <si>
    <t>movie:264644</t>
  </si>
  <si>
    <t>Room</t>
  </si>
  <si>
    <t>tt3170832</t>
  </si>
  <si>
    <t>264644</t>
  </si>
  <si>
    <t>captivity-and-recovery</t>
  </si>
  <si>
    <t>survival-drama; family-drama; psychological-drama</t>
  </si>
  <si>
    <t>intense; emotional; intimate; hopeful</t>
  </si>
  <si>
    <t>https://www.imdb.com/title/tt3170832/</t>
  </si>
  <si>
    <t>https://www.themoviedb.org/search?query=Room%202015</t>
  </si>
  <si>
    <t>Captivity and recovery is the central narrative concern based on the title synopsis and classification sources.</t>
  </si>
  <si>
    <t>show:244623</t>
  </si>
  <si>
    <t>Running Point</t>
  </si>
  <si>
    <t>tt14879018</t>
  </si>
  <si>
    <t>244623</t>
  </si>
  <si>
    <t>leadership-in-sports-business</t>
  </si>
  <si>
    <t>workplace-comedy; sports-comedy; family-comedy</t>
  </si>
  <si>
    <t>witty; energetic; upbeat; character-driven</t>
  </si>
  <si>
    <t>https://www.imdb.com/title/tt14879018/</t>
  </si>
  <si>
    <t>https://www.themoviedb.org/search?query=Running%20Point%202025</t>
  </si>
  <si>
    <t>Leadership in sports business is the central narrative concern based on the title synopsis and classification sources.</t>
  </si>
  <si>
    <t>show:84977</t>
  </si>
  <si>
    <t>Russian Doll</t>
  </si>
  <si>
    <t>tt7520794</t>
  </si>
  <si>
    <t>84977</t>
  </si>
  <si>
    <t>trauma-and-self-reckoning</t>
  </si>
  <si>
    <t>time-loop; dark-comedy; mystery-drama</t>
  </si>
  <si>
    <t>cerebral; darkly-comic; surreal; introspective</t>
  </si>
  <si>
    <t>https://www.imdb.com/title/tt7520794/</t>
  </si>
  <si>
    <t>https://www.themoviedb.org/search?query=Russian%20Doll%202019</t>
  </si>
  <si>
    <t>Trauma and self reckoning is the central narrative concern based on the title synopsis and classification sources.</t>
  </si>
  <si>
    <t>show:72792</t>
  </si>
  <si>
    <t>Safe</t>
  </si>
  <si>
    <t>tt7902072</t>
  </si>
  <si>
    <t>72792</t>
  </si>
  <si>
    <t>missing-child-and-family-secrets</t>
  </si>
  <si>
    <t>mystery-thriller; suburban-noir; family-drama</t>
  </si>
  <si>
    <t>https://www.imdb.com/title/tt7902072/</t>
  </si>
  <si>
    <t>https://www.themoviedb.org/search?query=Safe%202018</t>
  </si>
  <si>
    <t>Missing child and family secrets is the central narrative concern based on the title synopsis and classification sources.</t>
  </si>
  <si>
    <t>show:93870</t>
  </si>
  <si>
    <t>SAS: Rogue Heroes</t>
  </si>
  <si>
    <t>tt10405370</t>
  </si>
  <si>
    <t>93870</t>
  </si>
  <si>
    <t>special-forces-formation</t>
  </si>
  <si>
    <t>military-drama; historical-drama; ensemble-drama</t>
  </si>
  <si>
    <t>energetic; irreverent; intense; gritty</t>
  </si>
  <si>
    <t>https://www.imdb.com/title/tt10405370/</t>
  </si>
  <si>
    <t>https://www.themoviedb.org/search?query=SAS%3A%20Rogue%20Heroes%202022</t>
  </si>
  <si>
    <t>Special forces formation is the central narrative concern based on the title synopsis and classification sources.</t>
  </si>
  <si>
    <t>show:240740</t>
  </si>
  <si>
    <t>Scarpetta</t>
  </si>
  <si>
    <t>tt14786934</t>
  </si>
  <si>
    <t>240740</t>
  </si>
  <si>
    <t>forensic-justice-and-family-trauma</t>
  </si>
  <si>
    <t>forensic-procedural; serial-killer-thriller; family-drama</t>
  </si>
  <si>
    <t>dark; suspenseful; cerebral; character-driven</t>
  </si>
  <si>
    <t>https://www.imdb.com/title/tt14786934/</t>
  </si>
  <si>
    <t>https://www.themoviedb.org/search?query=Scarpetta%202026</t>
  </si>
  <si>
    <t>Forensic justice and family trauma is the central narrative concern based on the title synopsis and classification sources.</t>
  </si>
  <si>
    <t>movie:1273221</t>
  </si>
  <si>
    <t>Scary Movie</t>
  </si>
  <si>
    <t>tt32093575</t>
  </si>
  <si>
    <t>1273221</t>
  </si>
  <si>
    <t>horror-film-parody</t>
  </si>
  <si>
    <t>parody; horror-comedy; slapstick</t>
  </si>
  <si>
    <t>irreverent; absurd; raunchy; fast-paced</t>
  </si>
  <si>
    <t>https://www.imdb.com/title/tt32093575/</t>
  </si>
  <si>
    <t>https://www.themoviedb.org/search?query=Scary%20Movie%202026</t>
  </si>
  <si>
    <t>Horror film parody is the central narrative concern based on the title synopsis and classification sources.</t>
  </si>
  <si>
    <t>movie:646385</t>
  </si>
  <si>
    <t>Scream</t>
  </si>
  <si>
    <t>tt11245972</t>
  </si>
  <si>
    <t>646385</t>
  </si>
  <si>
    <t>legacy-and-copycat-violence</t>
  </si>
  <si>
    <t>slasher; meta-horror; mystery-horror</t>
  </si>
  <si>
    <t>suspenseful; self-aware; violent; tense</t>
  </si>
  <si>
    <t>https://www.imdb.com/title/tt11245972/</t>
  </si>
  <si>
    <t>https://www.themoviedb.org/search?query=Scream%202022</t>
  </si>
  <si>
    <t>Legacy and copycat violence is the central narrative concern based on the title synopsis and classification sources.</t>
  </si>
  <si>
    <t>show:1400</t>
  </si>
  <si>
    <t>Seinfeld</t>
  </si>
  <si>
    <t>1989</t>
  </si>
  <si>
    <t>tt0098904</t>
  </si>
  <si>
    <t>1400</t>
  </si>
  <si>
    <t>everyday-self-interest</t>
  </si>
  <si>
    <t>sitcom; observational-comedy; ensemble-comedy</t>
  </si>
  <si>
    <t>witty; cynical; observational; lighthearted</t>
  </si>
  <si>
    <t>https://www.imdb.com/title/tt0098904/</t>
  </si>
  <si>
    <t>https://www.themoviedb.org/search?query=Seinfeld%201989</t>
  </si>
  <si>
    <t>Everyday self interest is the central narrative concern based on the title synopsis and classification sources.</t>
  </si>
  <si>
    <t>movie:1124566</t>
  </si>
  <si>
    <t>Sentimental Value</t>
  </si>
  <si>
    <t>tt27714581</t>
  </si>
  <si>
    <t>1124566</t>
  </si>
  <si>
    <t>family-estrangement-and-art</t>
  </si>
  <si>
    <t>family-drama; filmmaking-drama; character-study</t>
  </si>
  <si>
    <t>intimate; melancholic; reflective; emotional</t>
  </si>
  <si>
    <t>https://www.imdb.com/title/tt27714581/</t>
  </si>
  <si>
    <t>https://www.themoviedb.org/search?query=Sentimental%20Value%202025</t>
  </si>
  <si>
    <t>Family estrangement and art is the central narrative concern based on the title synopsis and classification sources.</t>
  </si>
  <si>
    <t>show:95396</t>
  </si>
  <si>
    <t>Severance</t>
  </si>
  <si>
    <t>tt11280740</t>
  </si>
  <si>
    <t>95396</t>
  </si>
  <si>
    <t>workplace-control-and-identity</t>
  </si>
  <si>
    <t>corporate-dystopia; workplace-thriller; mystery-drama</t>
  </si>
  <si>
    <t>cerebral; unsettling; darkly-comic; atmospheric</t>
  </si>
  <si>
    <t>https://www.imdb.com/title/tt11280740/</t>
  </si>
  <si>
    <t>https://www.themoviedb.org/search?query=Severance%202022</t>
  </si>
  <si>
    <t>Workplace control and identity is the central narrative concern based on the title synopsis and classification sources.</t>
  </si>
  <si>
    <t>show:34307</t>
  </si>
  <si>
    <t>Shameless</t>
  </si>
  <si>
    <t>tt1586680</t>
  </si>
  <si>
    <t>34307</t>
  </si>
  <si>
    <t>family-survival-and-dysfunction</t>
  </si>
  <si>
    <t>family-dramedy; working-class-drama; ensemble-comedy</t>
  </si>
  <si>
    <t>raucous; gritty; heartfelt; chaotic</t>
  </si>
  <si>
    <t>https://www.imdb.com/title/tt1586680/</t>
  </si>
  <si>
    <t>https://www.themoviedb.org/search?query=Shameless%202011</t>
  </si>
  <si>
    <t>Family survival and dysfunction is the central narrative concern based on the title synopsis and classification sources.</t>
  </si>
  <si>
    <t>show:70453</t>
  </si>
  <si>
    <t>Sharp Objects</t>
  </si>
  <si>
    <t>tt2649356</t>
  </si>
  <si>
    <t>70453</t>
  </si>
  <si>
    <t>family-trauma-and-murder</t>
  </si>
  <si>
    <t>southern-gothic; psychological-thriller; crime-drama</t>
  </si>
  <si>
    <t>dark; atmospheric; unsettling; slow-burn</t>
  </si>
  <si>
    <t>https://www.imdb.com/title/tt2649356/</t>
  </si>
  <si>
    <t>https://www.themoviedb.org/search?query=Sharp%20Objects%202018</t>
  </si>
  <si>
    <t>Family trauma and murder is the central narrative concern based on the title synopsis and classification sources.</t>
  </si>
  <si>
    <t>show:92783</t>
  </si>
  <si>
    <t>She-Hulk: Attorney at Law</t>
  </si>
  <si>
    <t>tt10857160</t>
  </si>
  <si>
    <t>92783</t>
  </si>
  <si>
    <t>balancing-career-and-superhero-identity</t>
  </si>
  <si>
    <t>superhero-comedy; legal-comedy; workplace-comedy</t>
  </si>
  <si>
    <t>witty; playful; self-aware; lighthearted</t>
  </si>
  <si>
    <t>https://www.imdb.com/title/tt10857160/</t>
  </si>
  <si>
    <t>https://www.themoviedb.org/search?query=She-Hulk%3A%20Attorney%20at%20Law%202022</t>
  </si>
  <si>
    <t>Balancing career and superhero identity is the central narrative concern based on the title synopsis and classification sources.</t>
  </si>
  <si>
    <t>show:19885</t>
  </si>
  <si>
    <t>Sherlock</t>
  </si>
  <si>
    <t>tt1475582</t>
  </si>
  <si>
    <t>19885</t>
  </si>
  <si>
    <t>brilliant-detection-and-obsession</t>
  </si>
  <si>
    <t>detective-drama; crime-procedural; literary-adaptation</t>
  </si>
  <si>
    <t>cerebral; witty; fast-paced; suspenseful</t>
  </si>
  <si>
    <t>https://www.imdb.com/title/tt1475582/</t>
  </si>
  <si>
    <t>https://www.themoviedb.org/search?query=Sherlock%202010</t>
  </si>
  <si>
    <t>Brilliant detection and obsession is the central narrative concern based on the title synopsis and classification sources.</t>
  </si>
  <si>
    <t>show:106388</t>
  </si>
  <si>
    <t>Shining Girls</t>
  </si>
  <si>
    <t>tt2953250</t>
  </si>
  <si>
    <t>106388</t>
  </si>
  <si>
    <t>trauma-and-reality-disruption</t>
  </si>
  <si>
    <t>science-fiction-thriller; serial-killer-mystery; time-travel</t>
  </si>
  <si>
    <t>unsettling; atmospheric; suspenseful; cerebral</t>
  </si>
  <si>
    <t>https://www.imdb.com/title/tt2953250/</t>
  </si>
  <si>
    <t>https://www.themoviedb.org/search?query=Shining%20Girls%202022</t>
  </si>
  <si>
    <t>Trauma and reality disruption is the central narrative concern based on the title synopsis and classification sources.</t>
  </si>
  <si>
    <t>show:126308</t>
  </si>
  <si>
    <t>Shōgun</t>
  </si>
  <si>
    <t>tt2788316</t>
  </si>
  <si>
    <t>126308</t>
  </si>
  <si>
    <t>political-power-and-cultural-adaptation</t>
  </si>
  <si>
    <t>historical-epic; political-drama; samurai-drama</t>
  </si>
  <si>
    <t>epic; atmospheric; intricate; intense</t>
  </si>
  <si>
    <t>https://www.imdb.com/title/tt2788316/</t>
  </si>
  <si>
    <t>https://www.themoviedb.org/search?query=Sh%C5%8Dgun%202024</t>
  </si>
  <si>
    <t>Political power and cultural adaptation is the central narrative concern based on the title synopsis and classification sources.</t>
  </si>
  <si>
    <t>show:63248</t>
  </si>
  <si>
    <t>Show Me a Hero</t>
  </si>
  <si>
    <t>tt2492296</t>
  </si>
  <si>
    <t>63248</t>
  </si>
  <si>
    <t>housing-desegregation-and-political-cost</t>
  </si>
  <si>
    <t>political-drama; historical-drama; docudrama</t>
  </si>
  <si>
    <t>serious; complex; tragic; character-driven</t>
  </si>
  <si>
    <t>https://www.imdb.com/title/tt2492296/</t>
  </si>
  <si>
    <t>https://www.themoviedb.org/search?query=Show%20Me%20a%20Hero%202015</t>
  </si>
  <si>
    <t>Housing desegregation and political cost is the central narrative concern based on the title synopsis and classification sources.</t>
  </si>
  <si>
    <t>show:136311</t>
  </si>
  <si>
    <t>Shrinking</t>
  </si>
  <si>
    <t>tt15677150</t>
  </si>
  <si>
    <t>136311</t>
  </si>
  <si>
    <t>grief-and-emotional-healing</t>
  </si>
  <si>
    <t>workplace-comedy; therapy-dramedy; family-drama</t>
  </si>
  <si>
    <t>witty; heartfelt; bittersweet; character-driven</t>
  </si>
  <si>
    <t>https://www.imdb.com/title/tt15677150/</t>
  </si>
  <si>
    <t>https://www.themoviedb.org/search?query=Shrinking%202023</t>
  </si>
  <si>
    <t>Grief and emotional healing is the central narrative concern supported by the title synopsis and metadata sources.</t>
  </si>
  <si>
    <t>movie:273481</t>
  </si>
  <si>
    <t>Sicario</t>
  </si>
  <si>
    <t>tt3397884</t>
  </si>
  <si>
    <t>273481</t>
  </si>
  <si>
    <t>drug-war-and-moral-compromise</t>
  </si>
  <si>
    <t>crime-thriller; border-thriller; action-drama</t>
  </si>
  <si>
    <t>tense; bleak; atmospheric; intense</t>
  </si>
  <si>
    <t>https://www.imdb.com/title/tt3397884/</t>
  </si>
  <si>
    <t>https://www.themoviedb.org/search?query=Sicario%202015</t>
  </si>
  <si>
    <t>Drug war and moral compromise is the central narrative concern supported by the title synopsis and metadata sources.</t>
  </si>
  <si>
    <t>movie:400535</t>
  </si>
  <si>
    <t>Sicario: Day of the Soldado</t>
  </si>
  <si>
    <t>tt5052474</t>
  </si>
  <si>
    <t>400535</t>
  </si>
  <si>
    <t>border-conflict-and-escalation</t>
  </si>
  <si>
    <t>crime-thriller; action-drama; political-thriller</t>
  </si>
  <si>
    <t>grim; violent; tense; suspenseful</t>
  </si>
  <si>
    <t>https://www.imdb.com/title/tt5052474/</t>
  </si>
  <si>
    <t>https://www.themoviedb.org/search?query=Sicario%3A%20Day%20of%20the%20Soldado%202018</t>
  </si>
  <si>
    <t>Border conflict and escalation is the central narrative concern supported by the title synopsis and metadata sources.</t>
  </si>
  <si>
    <t>show:60573</t>
  </si>
  <si>
    <t>Silicon Valley</t>
  </si>
  <si>
    <t>tt2575988</t>
  </si>
  <si>
    <t>60573</t>
  </si>
  <si>
    <t>technology-entrepreneurship-and-competition</t>
  </si>
  <si>
    <t>workplace-comedy; tech-satire; ensemble-comedy</t>
  </si>
  <si>
    <t>witty; satirical; awkward; fast-paced</t>
  </si>
  <si>
    <t>https://www.imdb.com/title/tt2575988/</t>
  </si>
  <si>
    <t>https://www.themoviedb.org/search?query=Silicon%20Valley%202014</t>
  </si>
  <si>
    <t>Technology entrepreneurship and competition is the central narrative concern supported by the title synopsis and metadata sources.</t>
  </si>
  <si>
    <t>Batch 08</t>
  </si>
  <si>
    <t>show:125988</t>
  </si>
  <si>
    <t>Silo</t>
  </si>
  <si>
    <t>tt14688458</t>
  </si>
  <si>
    <t>125988</t>
  </si>
  <si>
    <t>authoritarian-control-and-hidden-truth</t>
  </si>
  <si>
    <t>dystopian; mystery-drama; conspiracy-thriller</t>
  </si>
  <si>
    <t>atmospheric; suspenseful; cerebral; ominous</t>
  </si>
  <si>
    <t>https://www.imdb.com/title/tt14688458/</t>
  </si>
  <si>
    <t>https://www.themoviedb.org/search?query=Silo%202023</t>
  </si>
  <si>
    <t>Authoritarian control and hidden truth is the central narrative concern supported by the title synopsis and metadata sources.</t>
  </si>
  <si>
    <t>movie:1233413</t>
  </si>
  <si>
    <t>Sinners</t>
  </si>
  <si>
    <t>tt31193180</t>
  </si>
  <si>
    <t>1233413</t>
  </si>
  <si>
    <t>community-survival-against-supernatural-evil</t>
  </si>
  <si>
    <t>southern-gothic; vampire-horror; historical-horror</t>
  </si>
  <si>
    <t>atmospheric; intense; visceral; soulful</t>
  </si>
  <si>
    <t>https://www.imdb.com/title/tt31193180/</t>
  </si>
  <si>
    <t>https://www.themoviedb.org/search?query=Sinners%202025</t>
  </si>
  <si>
    <t>Community survival against supernatural evil is the central narrative concern supported by the title synopsis and metadata sources.</t>
  </si>
  <si>
    <t>show:1274</t>
  </si>
  <si>
    <t>Six Feet Under</t>
  </si>
  <si>
    <t>tt0248654</t>
  </si>
  <si>
    <t>1274</t>
  </si>
  <si>
    <t>death-grief-and-family</t>
  </si>
  <si>
    <t>family-drama; workplace-drama; dark-comedy</t>
  </si>
  <si>
    <t>reflective; darkly-comic; emotional; character-driven</t>
  </si>
  <si>
    <t>https://www.imdb.com/title/tt0248654/</t>
  </si>
  <si>
    <t>https://www.themoviedb.org/search?query=Six%20Feet%20Under%202001</t>
  </si>
  <si>
    <t>Death grief and family is the central narrative concern supported by the title synopsis and metadata sources.</t>
  </si>
  <si>
    <t>show:95480</t>
  </si>
  <si>
    <t>Slow Horses</t>
  </si>
  <si>
    <t>tt5875444</t>
  </si>
  <si>
    <t>95480</t>
  </si>
  <si>
    <t>espionage-failure-and-redemption</t>
  </si>
  <si>
    <t>spy-thriller; workplace-drama; dark-comedy</t>
  </si>
  <si>
    <t>witty; cynical; suspenseful; character-driven</t>
  </si>
  <si>
    <t>https://www.imdb.com/title/tt5875444/</t>
  </si>
  <si>
    <t>https://www.themoviedb.org/search?query=Slow%20Horses%202022</t>
  </si>
  <si>
    <t>Espionage failure and redemption is the central narrative concern supported by the title synopsis and metadata sources.</t>
  </si>
  <si>
    <t>movie:882598</t>
  </si>
  <si>
    <t>Smile</t>
  </si>
  <si>
    <t>tt15474916</t>
  </si>
  <si>
    <t>882598</t>
  </si>
  <si>
    <t>trauma-and-supernatural-contagion</t>
  </si>
  <si>
    <t>psychological-horror; supernatural-horror; curse-horror</t>
  </si>
  <si>
    <t>unsettling; frightening; tense; atmospheric</t>
  </si>
  <si>
    <t>https://www.imdb.com/title/tt15474916/</t>
  </si>
  <si>
    <t>https://www.themoviedb.org/search?query=Smile%202022</t>
  </si>
  <si>
    <t>Trauma and supernatural contagion is the central narrative concern supported by the title synopsis and metadata sources.</t>
  </si>
  <si>
    <t>show:215995</t>
  </si>
  <si>
    <t>Smoke</t>
  </si>
  <si>
    <t>tt24163532</t>
  </si>
  <si>
    <t>215995</t>
  </si>
  <si>
    <t>arson-investigation-and-obsession</t>
  </si>
  <si>
    <t>crime-thriller; investigative-drama; psychological-drama</t>
  </si>
  <si>
    <t>https://www.imdb.com/title/tt24163532/</t>
  </si>
  <si>
    <t>https://www.themoviedb.org/search?query=Smoke%202025</t>
  </si>
  <si>
    <t>Arson investigation and obsession is the central narrative concern supported by the title synopsis and metadata sources.</t>
  </si>
  <si>
    <t>show:119279</t>
  </si>
  <si>
    <t>Solos</t>
  </si>
  <si>
    <t>tt13356646</t>
  </si>
  <si>
    <t>119279</t>
  </si>
  <si>
    <t>human-connection-and-isolation</t>
  </si>
  <si>
    <t>anthology; psychological-drama; speculative-fiction</t>
  </si>
  <si>
    <t>intimate; reflective; emotional; cerebral</t>
  </si>
  <si>
    <t>https://www.imdb.com/title/tt13356646/</t>
  </si>
  <si>
    <t>https://www.themoviedb.org/search?query=Solos%202021</t>
  </si>
  <si>
    <t>Human connection and isolation is the central narrative concern supported by the title synopsis and metadata sources.</t>
  </si>
  <si>
    <t>show:106308</t>
  </si>
  <si>
    <t>Somebody Somewhere</t>
  </si>
  <si>
    <t>tt12759100</t>
  </si>
  <si>
    <t>106308</t>
  </si>
  <si>
    <t>belonging-and-self-acceptance</t>
  </si>
  <si>
    <t>dramedy; small-town-comedy; friendship-drama</t>
  </si>
  <si>
    <t>warm; heartfelt; understated; character-driven</t>
  </si>
  <si>
    <t>https://www.imdb.com/title/tt12759100/</t>
  </si>
  <si>
    <t>https://www.themoviedb.org/search?query=Somebody%20Somewhere%202022</t>
  </si>
  <si>
    <t>Belonging and self acceptance is the central narrative concern supported by the title synopsis and metadata sources.</t>
  </si>
  <si>
    <t>show:259265</t>
  </si>
  <si>
    <t>Something Very Bad Is Going to Happen</t>
  </si>
  <si>
    <t>tt32937780</t>
  </si>
  <si>
    <t>259265</t>
  </si>
  <si>
    <t>wedding-anxiety-and-impending-disaster</t>
  </si>
  <si>
    <t>psychological-horror; wedding-horror; limited-series</t>
  </si>
  <si>
    <t>ominous; tense; unsettling; suspenseful</t>
  </si>
  <si>
    <t>https://www.imdb.com/title/tt32937780/</t>
  </si>
  <si>
    <t>https://www.themoviedb.org/search?query=Something%20Very%20Bad%20Is%20Going%20to%20Happen%202026</t>
  </si>
  <si>
    <t>Wedding anxiety and impending disaster is the central narrative concern supported by the title synopsis and metadata sources.</t>
  </si>
  <si>
    <t>show:1409</t>
  </si>
  <si>
    <t>Sons of Anarchy</t>
  </si>
  <si>
    <t>tt1124373</t>
  </si>
  <si>
    <t>1409</t>
  </si>
  <si>
    <t>outlaw-loyalty-and-family</t>
  </si>
  <si>
    <t>biker-drama; family-drama; neo-western</t>
  </si>
  <si>
    <t>gritty; violent; intense; character-driven</t>
  </si>
  <si>
    <t>https://www.imdb.com/title/tt1124373/</t>
  </si>
  <si>
    <t>https://www.themoviedb.org/search?query=Sons%20of%20Anarchy%202008</t>
  </si>
  <si>
    <t>Outlaw loyalty and family is the central narrative concern supported by the title synopsis and metadata sources.</t>
  </si>
  <si>
    <t>movie:314365</t>
  </si>
  <si>
    <t>Spotlight</t>
  </si>
  <si>
    <t>tt1895587</t>
  </si>
  <si>
    <t>314365</t>
  </si>
  <si>
    <t>investigative-journalism-and-institutional-abuse</t>
  </si>
  <si>
    <t>journalism-drama; historical-drama; ensemble-drama</t>
  </si>
  <si>
    <t>serious; restrained; principled; tense</t>
  </si>
  <si>
    <t>https://www.imdb.com/title/tt1895587/</t>
  </si>
  <si>
    <t>https://www.themoviedb.org/search?query=Spotlight%202015</t>
  </si>
  <si>
    <t>Investigative journalism and institutional abuse is the central narrative concern supported by the title synopsis and metadata sources.</t>
  </si>
  <si>
    <t>show:93405</t>
  </si>
  <si>
    <t>Squid Game</t>
  </si>
  <si>
    <t>tt10919420</t>
  </si>
  <si>
    <t>93405</t>
  </si>
  <si>
    <t>economic-desperation-and-exploitation</t>
  </si>
  <si>
    <t>survival-thriller; dystopian; social-satire</t>
  </si>
  <si>
    <t>tense; violent; satirical; emotional</t>
  </si>
  <si>
    <t>https://www.imdb.com/title/tt10919420/</t>
  </si>
  <si>
    <t>https://www.themoviedb.org/search?query=Squid%20Game%202021</t>
  </si>
  <si>
    <t>Economic desperation and exploitation is the central narrative concern supported by the title synopsis and metadata sources.</t>
  </si>
  <si>
    <t>show:251941</t>
  </si>
  <si>
    <t>St. Denis Medical</t>
  </si>
  <si>
    <t>tt21433690</t>
  </si>
  <si>
    <t>251941</t>
  </si>
  <si>
    <t>underfunded-healthcare-workplace</t>
  </si>
  <si>
    <t>workplace-comedy; medical-comedy; mockumentary</t>
  </si>
  <si>
    <t>witty; warm; chaotic; lighthearted</t>
  </si>
  <si>
    <t>https://www.imdb.com/title/tt21433690/</t>
  </si>
  <si>
    <t>https://www.themoviedb.org/search?query=St.%20Denis%20Medical%202024</t>
  </si>
  <si>
    <t>Underfunded healthcare workplace is the central narrative concern supported by the title synopsis and metadata sources.</t>
  </si>
  <si>
    <t>show:83867</t>
  </si>
  <si>
    <t>Star Wars: Andor</t>
  </si>
  <si>
    <t>tt9253284</t>
  </si>
  <si>
    <t>83867</t>
  </si>
  <si>
    <t>rebellion-against-authoritarianism</t>
  </si>
  <si>
    <t>space-opera; spy-thriller; political-drama</t>
  </si>
  <si>
    <t>tense; cerebral; gritty; character-driven</t>
  </si>
  <si>
    <t>https://www.imdb.com/title/tt9253284/</t>
  </si>
  <si>
    <t>https://www.themoviedb.org/search?query=Star%20Wars%3A%20Andor%202022</t>
  </si>
  <si>
    <t>Rebellion against authoritarianism is the central narrative concern supported by the title synopsis and metadata sources.</t>
  </si>
  <si>
    <t>movie:321697</t>
  </si>
  <si>
    <t>Steve Jobs</t>
  </si>
  <si>
    <t>tt2080374</t>
  </si>
  <si>
    <t>321697</t>
  </si>
  <si>
    <t>innovation-and-personal-cost</t>
  </si>
  <si>
    <t>technology-drama; workplace-drama; character-study</t>
  </si>
  <si>
    <t>cerebral; intense; fast-paced; character-driven</t>
  </si>
  <si>
    <t>https://www.imdb.com/title/tt2080374/</t>
  </si>
  <si>
    <t>https://www.themoviedb.org/search?query=Steve%20Jobs%202015</t>
  </si>
  <si>
    <t>Innovation and personal cost is the central narrative concern supported by the title synopsis and metadata sources.</t>
  </si>
  <si>
    <t>show:248830</t>
  </si>
  <si>
    <t>Stick</t>
  </si>
  <si>
    <t>tt31710249</t>
  </si>
  <si>
    <t>248830</t>
  </si>
  <si>
    <t>redemption-through-golf-mentorship</t>
  </si>
  <si>
    <t>sports-comedy; mentorship-drama; dramedy</t>
  </si>
  <si>
    <t>warm; witty; inspirational; character-driven</t>
  </si>
  <si>
    <t>https://www.imdb.com/title/tt31710249/</t>
  </si>
  <si>
    <t>https://www.themoviedb.org/search?query=Stick%202025</t>
  </si>
  <si>
    <t>Redemption through golf mentorship is the central narrative concern supported by the title synopsis and metadata sources.</t>
  </si>
  <si>
    <t>movie:277216</t>
  </si>
  <si>
    <t>Straight Outta Compton</t>
  </si>
  <si>
    <t>tt1398426</t>
  </si>
  <si>
    <t>277216</t>
  </si>
  <si>
    <t>music-ambition-and-social-protest</t>
  </si>
  <si>
    <t>music-biography; historical-drama; ensemble-drama</t>
  </si>
  <si>
    <t>energetic; gritty; provocative; intense</t>
  </si>
  <si>
    <t>https://www.imdb.com/title/tt1398426/</t>
  </si>
  <si>
    <t>https://www.themoviedb.org/search?query=Straight%20Outta%20Compton%202015</t>
  </si>
  <si>
    <t>Music ambition and social protest is the central narrative concern supported by the title synopsis and metadata sources.</t>
  </si>
  <si>
    <t>show:66732</t>
  </si>
  <si>
    <t>Stranger Things</t>
  </si>
  <si>
    <t>tt4574334</t>
  </si>
  <si>
    <t>66732</t>
  </si>
  <si>
    <t>friendship-against-supernatural-threats</t>
  </si>
  <si>
    <t>supernatural-mystery; coming-of-age; adventure-horror</t>
  </si>
  <si>
    <t>nostalgic; suspenseful; heartfelt; adventurous</t>
  </si>
  <si>
    <t>https://www.imdb.com/title/tt4574334/</t>
  </si>
  <si>
    <t>https://www.themoviedb.org/search?query=Stranger%20Things%202016</t>
  </si>
  <si>
    <t>Friendship against supernatural threats is the central narrative concern supported by the title synopsis and metadata sources.</t>
  </si>
  <si>
    <t>show:76331</t>
  </si>
  <si>
    <t>Succession</t>
  </si>
  <si>
    <t>tt7660850</t>
  </si>
  <si>
    <t>76331</t>
  </si>
  <si>
    <t>family-power-and-corporate-control</t>
  </si>
  <si>
    <t>family-drama; corporate-drama; social-satire</t>
  </si>
  <si>
    <t>caustic; witty; tense; character-driven</t>
  </si>
  <si>
    <t>https://www.imdb.com/title/tt7660850/</t>
  </si>
  <si>
    <t>https://www.themoviedb.org/search?query=Succession%202018</t>
  </si>
  <si>
    <t>Family power and corporate control is the central narrative concern supported by the title synopsis and metadata sources.</t>
  </si>
  <si>
    <t>show:203744</t>
  </si>
  <si>
    <t>Sugar</t>
  </si>
  <si>
    <t>tt16418808</t>
  </si>
  <si>
    <t>203744</t>
  </si>
  <si>
    <t>missing-person-investigation-and-hidden-identity</t>
  </si>
  <si>
    <t>neo-noir; detective-drama; science-fiction-mystery</t>
  </si>
  <si>
    <t>stylish; atmospheric; cerebral; suspenseful</t>
  </si>
  <si>
    <t>https://www.imdb.com/title/tt16418808/</t>
  </si>
  <si>
    <t>https://www.themoviedb.org/search?query=Sugar%202024</t>
  </si>
  <si>
    <t>Missing person investigation and hidden identity is the central narrative concern supported by the title synopsis and metadata sources.</t>
  </si>
  <si>
    <t>show:37680</t>
  </si>
  <si>
    <t>Suits</t>
  </si>
  <si>
    <t>tt1632701</t>
  </si>
  <si>
    <t>37680</t>
  </si>
  <si>
    <t>legal-ambition-and-loyalty</t>
  </si>
  <si>
    <t>legal-drama; workplace-drama; buddy-drama</t>
  </si>
  <si>
    <t>witty; polished; fast-paced; character-driven</t>
  </si>
  <si>
    <t>https://www.imdb.com/title/tt1632701/</t>
  </si>
  <si>
    <t>https://www.themoviedb.org/search?query=Suits%202011</t>
  </si>
  <si>
    <t>Legal ambition and loyalty is the central narrative concern supported by the title synopsis and metadata sources.</t>
  </si>
  <si>
    <t>movie:363676</t>
  </si>
  <si>
    <t>Sully</t>
  </si>
  <si>
    <t>tt3263904</t>
  </si>
  <si>
    <t>363676</t>
  </si>
  <si>
    <t>professional-judgment-under-scrutiny</t>
  </si>
  <si>
    <t>aviation-drama; disaster-drama; historical-drama</t>
  </si>
  <si>
    <t>restrained; tense; inspirational; serious</t>
  </si>
  <si>
    <t>https://www.imdb.com/title/tt3263904/</t>
  </si>
  <si>
    <t>https://www.themoviedb.org/search?query=Sully%202016</t>
  </si>
  <si>
    <t>Professional judgment under scrutiny is the central narrative concern supported by the title synopsis and metadata sources.</t>
  </si>
  <si>
    <t>movie:8363</t>
  </si>
  <si>
    <t>Superbad</t>
  </si>
  <si>
    <t>tt0829482</t>
  </si>
  <si>
    <t>8363</t>
  </si>
  <si>
    <t>teen-friendship-and-growing-up</t>
  </si>
  <si>
    <t>teen-comedy; coming-of-age; buddy-comedy</t>
  </si>
  <si>
    <t>raunchy; heartfelt; awkward; energetic</t>
  </si>
  <si>
    <t>https://www.imdb.com/title/tt0829482/</t>
  </si>
  <si>
    <t>https://www.themoviedb.org/search?query=Superbad%202007</t>
  </si>
  <si>
    <t>Teen friendship and growing up is the central narrative concern supported by the title synopsis and metadata sources.</t>
  </si>
  <si>
    <t>movie:817758</t>
  </si>
  <si>
    <t>TÁR</t>
  </si>
  <si>
    <t>tt14444726</t>
  </si>
  <si>
    <t>817758</t>
  </si>
  <si>
    <t>power-abuse-and-artistic-downfall</t>
  </si>
  <si>
    <t>music-drama; psychological-drama; character-study</t>
  </si>
  <si>
    <t>cerebral; unsettling; austere; character-driven</t>
  </si>
  <si>
    <t>https://www.imdb.com/title/tt14444726/</t>
  </si>
  <si>
    <t>https://www.themoviedb.org/search?query=T%C3%81R%202022</t>
  </si>
  <si>
    <t>Power abuse and artistic downfall is the central narrative concern supported by the title synopsis and metadata sources.</t>
  </si>
  <si>
    <t>show:228305</t>
  </si>
  <si>
    <t>Task</t>
  </si>
  <si>
    <t>tt28013708</t>
  </si>
  <si>
    <t>228305</t>
  </si>
  <si>
    <t>crime-investigation-and-moral-conflict</t>
  </si>
  <si>
    <t>police-procedural; family-drama; heist-thriller</t>
  </si>
  <si>
    <t>gritty; tense; emotional; character-driven</t>
  </si>
  <si>
    <t>https://www.imdb.com/title/tt28013708/</t>
  </si>
  <si>
    <t>https://www.themoviedb.org/search?query=Task%202025</t>
  </si>
  <si>
    <t>Crime investigation and moral conflict is the central narrative concern supported by the title synopsis and metadata sources.</t>
  </si>
  <si>
    <t>show:97546</t>
  </si>
  <si>
    <t>Ted Lasso</t>
  </si>
  <si>
    <t>tt10986410</t>
  </si>
  <si>
    <t>97546</t>
  </si>
  <si>
    <t>kindness-leadership-and-belonging</t>
  </si>
  <si>
    <t>sports-comedy; workplace-comedy; dramedy</t>
  </si>
  <si>
    <t>optimistic; heartfelt; witty; uplifting</t>
  </si>
  <si>
    <t>https://www.imdb.com/title/tt10986410/</t>
  </si>
  <si>
    <t>https://www.themoviedb.org/search?query=Ted%20Lasso%202020</t>
  </si>
  <si>
    <t>Kindness leadership and belonging is the central narrative concern supported by the title synopsis and metadata sources.</t>
  </si>
  <si>
    <t>show:130464</t>
  </si>
  <si>
    <t>Tell Me Lies</t>
  </si>
  <si>
    <t>tt13018148</t>
  </si>
  <si>
    <t>130464</t>
  </si>
  <si>
    <t>toxic-romance-and-deception</t>
  </si>
  <si>
    <t>romantic-drama; college-drama; psychological-drama</t>
  </si>
  <si>
    <t>intense; provocative; twisty; character-driven</t>
  </si>
  <si>
    <t>https://www.imdb.com/title/tt13018148/</t>
  </si>
  <si>
    <t>https://www.themoviedb.org/search?query=Tell%20Me%20Lies%202022</t>
  </si>
  <si>
    <t>Toxic romance and deception is the central narrative concern supported by the title synopsis and metadata sources.</t>
  </si>
  <si>
    <t>movie:577922</t>
  </si>
  <si>
    <t>Tenet</t>
  </si>
  <si>
    <t>tt6723592</t>
  </si>
  <si>
    <t>577922</t>
  </si>
  <si>
    <t>time-inversion-and-global-catastrophe</t>
  </si>
  <si>
    <t>spy-thriller; time-travel; action-thriller</t>
  </si>
  <si>
    <t>cerebral; kinetic; suspenseful; complex</t>
  </si>
  <si>
    <t>https://www.imdb.com/title/tt6723592/</t>
  </si>
  <si>
    <t>https://www.themoviedb.org/search?query=Tenet%202020</t>
  </si>
  <si>
    <t>Time inversion and global catastrophe is the central narrative concern supported by the title synopsis and metadata sources.</t>
  </si>
  <si>
    <t>movie:302946</t>
  </si>
  <si>
    <t>The Accountant</t>
  </si>
  <si>
    <t>tt2140479</t>
  </si>
  <si>
    <t>302946</t>
  </si>
  <si>
    <t>autism-crime-and-family-loyalty</t>
  </si>
  <si>
    <t>crime-thriller; conspiracy-thriller; vigilante-action</t>
  </si>
  <si>
    <t>methodical; tense; violent; suspenseful</t>
  </si>
  <si>
    <t>https://www.imdb.com/title/tt2140479/</t>
  </si>
  <si>
    <t>https://www.themoviedb.org/search?query=The%20Accountant%202016</t>
  </si>
  <si>
    <t>Autism crime and family loyalty is the central narrative concern supported by the title synopsis and metadata sources.</t>
  </si>
  <si>
    <t>show:106454</t>
  </si>
  <si>
    <t>The Afterparty</t>
  </si>
  <si>
    <t>tt12614214</t>
  </si>
  <si>
    <t>106454</t>
  </si>
  <si>
    <t>murder-through-conflicting-perspectives</t>
  </si>
  <si>
    <t>comedy-mystery; whodunit; ensemble-comedy</t>
  </si>
  <si>
    <t>witty; playful; twisty; inventive</t>
  </si>
  <si>
    <t>https://www.imdb.com/title/tt12614214/</t>
  </si>
  <si>
    <t>https://www.themoviedb.org/search?query=The%20Afterparty%202022</t>
  </si>
  <si>
    <t>Murder through conflicting perspectives is the central narrative concern supported by the title synopsis and metadata sources.</t>
  </si>
  <si>
    <t>show:219971</t>
  </si>
  <si>
    <t>The Agency</t>
  </si>
  <si>
    <t>tt26656917</t>
  </si>
  <si>
    <t>219971</t>
  </si>
  <si>
    <t>espionage-and-conflicted-loyalty</t>
  </si>
  <si>
    <t>spy-thriller; political-drama; psychological-drama</t>
  </si>
  <si>
    <t>tense; cerebral; suspenseful; character-driven</t>
  </si>
  <si>
    <t>https://www.imdb.com/title/tt26656917/</t>
  </si>
  <si>
    <t>https://www.themoviedb.org/search?query=The%20Agency%202024</t>
  </si>
  <si>
    <t>Espionage and conflicted loyalty is the central narrative concern supported by the title synopsis and metadata sources.</t>
  </si>
  <si>
    <t>show:46533</t>
  </si>
  <si>
    <t>The Americans</t>
  </si>
  <si>
    <t>tt2149175</t>
  </si>
  <si>
    <t>46533</t>
  </si>
  <si>
    <t>espionage-marriage-and-loyalty</t>
  </si>
  <si>
    <t>spy-thriller; family-drama; period-drama</t>
  </si>
  <si>
    <t>tense; cerebral; character-driven; suspenseful</t>
  </si>
  <si>
    <t>https://www.imdb.com/title/tt2149175/</t>
  </si>
  <si>
    <t>https://www.themoviedb.org/search?query=The%20Americans%202013</t>
  </si>
  <si>
    <t>Espionage marriage and loyalty is the central narrative concern supported by the title synopsis and metadata sources.</t>
  </si>
  <si>
    <t>movie:414906</t>
  </si>
  <si>
    <t>The Batman</t>
  </si>
  <si>
    <t>tt1877830</t>
  </si>
  <si>
    <t>414906</t>
  </si>
  <si>
    <t>corruption-and-vigilante-justice</t>
  </si>
  <si>
    <t>superhero-noir; detective-mystery; serial-killer-thriller</t>
  </si>
  <si>
    <t>dark; atmospheric; intense; suspenseful</t>
  </si>
  <si>
    <t>https://www.imdb.com/title/tt1877830/</t>
  </si>
  <si>
    <t>https://www.themoviedb.org/search?query=The%20Batman%202022</t>
  </si>
  <si>
    <t>Corruption and vigilante justice is the central narrative concern supported by the title synopsis and metadata sources.</t>
  </si>
  <si>
    <t>show:136315</t>
  </si>
  <si>
    <t>The Bear</t>
  </si>
  <si>
    <t>tt14452776</t>
  </si>
  <si>
    <t>136315</t>
  </si>
  <si>
    <t>grief-family-and-restaurant-reinvention</t>
  </si>
  <si>
    <t>workplace-drama; family-drama; culinary-drama</t>
  </si>
  <si>
    <t>intense; intimate; character-driven; heartfelt</t>
  </si>
  <si>
    <t>https://www.imdb.com/title/tt14452776/</t>
  </si>
  <si>
    <t>https://www.themoviedb.org/search?query=The%20Bear%202022</t>
  </si>
  <si>
    <t>Grief family and restaurant reinvention is the central narrative concern supported by the title synopsis and metadata sources.</t>
  </si>
  <si>
    <t>show:250504</t>
  </si>
  <si>
    <t>The Beast in Me</t>
  </si>
  <si>
    <t>tt31974367</t>
  </si>
  <si>
    <t>250504</t>
  </si>
  <si>
    <t>grief-and-dangerous-obsession</t>
  </si>
  <si>
    <t>psychological-thriller; mystery-drama; domestic-noir</t>
  </si>
  <si>
    <t>https://www.imdb.com/title/tt31974367/</t>
  </si>
  <si>
    <t>https://www.themoviedb.org/search?query=The%20Beast%20in%20Me%202025</t>
  </si>
  <si>
    <t>Grief and dangerous obsession is the central narrative concern supported by the title synopsis and metadata sources.</t>
  </si>
  <si>
    <t>show:273160</t>
  </si>
  <si>
    <t>The Beauty</t>
  </si>
  <si>
    <t>tt33517752</t>
  </si>
  <si>
    <t>273160</t>
  </si>
  <si>
    <t>beauty-standards-and-biological-conspiracy</t>
  </si>
  <si>
    <t>body-horror; conspiracy-thriller; social-satire</t>
  </si>
  <si>
    <t>provocative; unsettling; stylish; suspenseful</t>
  </si>
  <si>
    <t>https://www.imdb.com/title/tt33517752/</t>
  </si>
  <si>
    <t>https://www.themoviedb.org/search?query=The%20Beauty%202026</t>
  </si>
  <si>
    <t>Beauty standards and biological conspiracy is the central narrative concern supported by the title synopsis and metadata sources.</t>
  </si>
  <si>
    <t>movie:318846</t>
  </si>
  <si>
    <t>The Big Short</t>
  </si>
  <si>
    <t>tt1596363</t>
  </si>
  <si>
    <t>318846</t>
  </si>
  <si>
    <t>financial-crisis-and-systemic-greed</t>
  </si>
  <si>
    <t>financial-drama; satire; historical-drama</t>
  </si>
  <si>
    <t>witty; cerebral; urgent; satirical</t>
  </si>
  <si>
    <t>https://www.imdb.com/title/tt1596363/</t>
  </si>
  <si>
    <t>https://www.themoviedb.org/search?query=The%20Big%20Short%202015</t>
  </si>
  <si>
    <t>Financial crisis and systemic greed is the central narrative concern supported by the title synopsis and metadata sources.</t>
  </si>
  <si>
    <t>movie:416477</t>
  </si>
  <si>
    <t>The Big Sick</t>
  </si>
  <si>
    <t>tt5462602</t>
  </si>
  <si>
    <t>416477</t>
  </si>
  <si>
    <t>intercultural-romance-and-family</t>
  </si>
  <si>
    <t>romantic-comedy; family-drama; autobiographical-drama</t>
  </si>
  <si>
    <t>warm; witty; heartfelt; bittersweet</t>
  </si>
  <si>
    <t>https://www.imdb.com/title/tt5462602/</t>
  </si>
  <si>
    <t>https://www.themoviedb.org/search?query=The%20Big%20Sick%202017</t>
  </si>
  <si>
    <t>Intercultural romance and family is the central narrative concern supported by the title synopsis and metadata sources.</t>
  </si>
  <si>
    <t>show:229711</t>
  </si>
  <si>
    <t>The Bondsman</t>
  </si>
  <si>
    <t>tt28256288</t>
  </si>
  <si>
    <t>229711</t>
  </si>
  <si>
    <t>redemption-through-supernatural-bounty-hunting</t>
  </si>
  <si>
    <t>horror-comedy; supernatural-action; bounty-hunter-drama</t>
  </si>
  <si>
    <t>darkly-comic; violent; energetic; supernatural</t>
  </si>
  <si>
    <t>https://www.imdb.com/title/tt28256288/</t>
  </si>
  <si>
    <t>https://www.themoviedb.org/search?query=The%20Bondsman%202025</t>
  </si>
  <si>
    <t>Redemption through supernatural bounty hunting is the central narrative concern supported by the title synopsis and metadata sources.</t>
  </si>
  <si>
    <t>show:76479</t>
  </si>
  <si>
    <t>The Boys</t>
  </si>
  <si>
    <t>tt1190634</t>
  </si>
  <si>
    <t>76479</t>
  </si>
  <si>
    <t>corporate-superheroes-and-corruption</t>
  </si>
  <si>
    <t>superhero-satire; dark-comedy; political-thriller</t>
  </si>
  <si>
    <t>violent; satirical; irreverent; dark</t>
  </si>
  <si>
    <t>https://www.imdb.com/title/tt1190634/</t>
  </si>
  <si>
    <t>https://www.themoviedb.org/search?query=The%20Boys%202019</t>
  </si>
  <si>
    <t>Corporate superheroes and corruption is the central narrative concern supported by the title synopsis and metadata sources.</t>
  </si>
  <si>
    <t>show:152483</t>
  </si>
  <si>
    <t>The Boys Presents: Diabolical</t>
  </si>
  <si>
    <t>tt16350094</t>
  </si>
  <si>
    <t>152483</t>
  </si>
  <si>
    <t>superhero-corruption-and-chaos</t>
  </si>
  <si>
    <t>animation</t>
  </si>
  <si>
    <t>superhero-anthology; dark-comedy; action-animation</t>
  </si>
  <si>
    <t>violent; irreverent; satirical; eclectic</t>
  </si>
  <si>
    <t>https://www.imdb.com/title/tt16350094/</t>
  </si>
  <si>
    <t>https://www.themoviedb.org/search?query=The%20Boys%20Presents%3A%20Diabolical%202022</t>
  </si>
  <si>
    <t>Superhero corruption and chaos is the central narrative concern supported by the title synopsis and metadata sources.</t>
  </si>
  <si>
    <t>movie:549509</t>
  </si>
  <si>
    <t>The Brutalist</t>
  </si>
  <si>
    <t>tt8999762</t>
  </si>
  <si>
    <t>549509</t>
  </si>
  <si>
    <t>immigrant-ambition-and-artistic-compromise</t>
  </si>
  <si>
    <t>historical-drama; immigrant-drama; architectural-drama</t>
  </si>
  <si>
    <t>epic; austere; reflective; intense</t>
  </si>
  <si>
    <t>https://www.imdb.com/title/tt8999762/</t>
  </si>
  <si>
    <t>https://www.themoviedb.org/search?query=The%20Brutalist%202024</t>
  </si>
  <si>
    <t>Immigrant ambition and artistic compromise is the central narrative concern supported by the title synopsis and metadata sources.</t>
  </si>
  <si>
    <t>show:62476</t>
  </si>
  <si>
    <t>The Bureau</t>
  </si>
  <si>
    <t>tt4063800</t>
  </si>
  <si>
    <t>62476</t>
  </si>
  <si>
    <t>espionage-identity-and-loyalty</t>
  </si>
  <si>
    <t>spy-thriller; workplace-drama; psychological-drama</t>
  </si>
  <si>
    <t>cerebral; tense; realistic; slow-burn</t>
  </si>
  <si>
    <t>https://www.imdb.com/title/tt4063800/</t>
  </si>
  <si>
    <t>https://www.themoviedb.org/search?query=The%20Bureau%202015</t>
  </si>
  <si>
    <t>Espionage identity and loyalty is the central narrative concern supported by the title synopsis and metadata sources.</t>
  </si>
  <si>
    <t>movie:158011</t>
  </si>
  <si>
    <t>The Call</t>
  </si>
  <si>
    <t>tt1911644</t>
  </si>
  <si>
    <t>158011</t>
  </si>
  <si>
    <t>emergency-dispatch-and-abduction-rescue</t>
  </si>
  <si>
    <t>kidnapping-thriller; police-thriller; real-time-thriller</t>
  </si>
  <si>
    <t>tense; suspenseful; fast-paced; intense</t>
  </si>
  <si>
    <t>https://www.imdb.com/title/tt1911644/</t>
  </si>
  <si>
    <t>https://www.themoviedb.org/search?query=The%20Call%202013</t>
  </si>
  <si>
    <t>Emergency dispatch and abduction rescue is the central narrative concern supported by the title synopsis and metadata sources.</t>
  </si>
  <si>
    <t>show:99657</t>
  </si>
  <si>
    <t>The Chair</t>
  </si>
  <si>
    <t>tt11834150</t>
  </si>
  <si>
    <t>99657</t>
  </si>
  <si>
    <t>academic-power-and-institutional-change</t>
  </si>
  <si>
    <t>workplace-comedy; academic-satire; dramedy</t>
  </si>
  <si>
    <t>witty; satirical; thoughtful; character-driven</t>
  </si>
  <si>
    <t>https://www.imdb.com/title/tt11834150/</t>
  </si>
  <si>
    <t>https://www.themoviedb.org/search?query=The%20Chair%202021</t>
  </si>
  <si>
    <t>Academic power and institutional change is the central narrative concern supported by the title synopsis and metadata sources.</t>
  </si>
  <si>
    <t>movie:1662317</t>
  </si>
  <si>
    <t>The Crash</t>
  </si>
  <si>
    <t>tt40792117</t>
  </si>
  <si>
    <t>1662317</t>
  </si>
  <si>
    <t>financial-collapse-and-human-consequences</t>
  </si>
  <si>
    <t>financial-drama; disaster-drama; ensemble-drama</t>
  </si>
  <si>
    <t>tense; serious; character-driven; urgent</t>
  </si>
  <si>
    <t>https://www.imdb.com/title/tt40792117/</t>
  </si>
  <si>
    <t>https://www.themoviedb.org/search?query=The%20Crash%202026</t>
  </si>
  <si>
    <t>Financial collapse and human consequences is the central narrative concern supported by the title synopsis and metadata sources.</t>
  </si>
  <si>
    <t>show:123192</t>
  </si>
  <si>
    <t>The Crowded Room</t>
  </si>
  <si>
    <t>tt14417718</t>
  </si>
  <si>
    <t>123192</t>
  </si>
  <si>
    <t>trauma-and-fragmented-identity</t>
  </si>
  <si>
    <t>psychological-thriller; crime-drama; limited-series</t>
  </si>
  <si>
    <t>dark; unsettling; emotional; suspenseful</t>
  </si>
  <si>
    <t>https://www.imdb.com/title/tt14417718/</t>
  </si>
  <si>
    <t>https://www.themoviedb.org/search?query=The%20Crowded%20Room%202023</t>
  </si>
  <si>
    <t>Trauma and fragmented identity is the central narrative concern supported by the reviewed synopsis and classification sources.</t>
  </si>
  <si>
    <t>show:114655</t>
  </si>
  <si>
    <t>The Curse</t>
  </si>
  <si>
    <t>tt13623608</t>
  </si>
  <si>
    <t>114655</t>
  </si>
  <si>
    <t>privilege-and-performative-altruism</t>
  </si>
  <si>
    <t>dark-comedy; social-satire; psychological-drama</t>
  </si>
  <si>
    <t>awkward; unsettling; satirical; slow-burn</t>
  </si>
  <si>
    <t>https://www.imdb.com/title/tt13623608/</t>
  </si>
  <si>
    <t>https://www.themoviedb.org/search?query=The%20Curse%202023</t>
  </si>
  <si>
    <t>Privilege and performative altruism is the central narrative concern supported by the reviewed synopsis and classification sources.</t>
  </si>
  <si>
    <t>show:222766</t>
  </si>
  <si>
    <t>The Day of the Jackal</t>
  </si>
  <si>
    <t>tt24053860</t>
  </si>
  <si>
    <t>222766</t>
  </si>
  <si>
    <t>assassin-pursuit</t>
  </si>
  <si>
    <t>spy-thriller; assassin-thriller; cat-and-mouse</t>
  </si>
  <si>
    <t>tense; stylish; suspenseful; cerebral</t>
  </si>
  <si>
    <t>https://www.imdb.com/title/tt24053860/</t>
  </si>
  <si>
    <t>https://www.themoviedb.org/search?query=The%20Day%20of%20the%20Jackal%202024</t>
  </si>
  <si>
    <t>Assassin pursuit is the central narrative concern supported by the reviewed synopsis and classification sources.</t>
  </si>
  <si>
    <t>show:65817</t>
  </si>
  <si>
    <t>The Deuce</t>
  </si>
  <si>
    <t>tt4998350</t>
  </si>
  <si>
    <t>65817</t>
  </si>
  <si>
    <t>sex-work-and-urban-change</t>
  </si>
  <si>
    <t>period-drama; ensemble-drama; social-realism</t>
  </si>
  <si>
    <t>gritty; atmospheric; character-driven; provocative</t>
  </si>
  <si>
    <t>https://www.imdb.com/title/tt4998350/</t>
  </si>
  <si>
    <t>https://www.themoviedb.org/search?query=The%20Deuce%202017</t>
  </si>
  <si>
    <t>Sex work and urban change is the central narrative concern supported by the reviewed synopsis and classification sources.</t>
  </si>
  <si>
    <t>Batch 09</t>
  </si>
  <si>
    <t>show:203857</t>
  </si>
  <si>
    <t>The Diplomat</t>
  </si>
  <si>
    <t>tt17491088</t>
  </si>
  <si>
    <t>203857</t>
  </si>
  <si>
    <t>diplomacy-and-political-power</t>
  </si>
  <si>
    <t>political-drama; workplace-drama; marital-drama</t>
  </si>
  <si>
    <t>witty; tense; cerebral; character-driven</t>
  </si>
  <si>
    <t>https://www.imdb.com/title/tt17491088/</t>
  </si>
  <si>
    <t>https://www.themoviedb.org/search?query=The%20Diplomat%202023</t>
  </si>
  <si>
    <t>Diplomacy and political power is the central narrative concern supported by the reviewed synopsis and classification sources.</t>
  </si>
  <si>
    <t>show:122066</t>
  </si>
  <si>
    <t>The Dropout</t>
  </si>
  <si>
    <t>tt10166622</t>
  </si>
  <si>
    <t>122066</t>
  </si>
  <si>
    <t>startup-fraud-and-ambition</t>
  </si>
  <si>
    <t>biographical-drama; business-drama; docudrama</t>
  </si>
  <si>
    <t>tense; unsettling; character-driven; satirical</t>
  </si>
  <si>
    <t>https://www.imdb.com/title/tt10166622/</t>
  </si>
  <si>
    <t>https://www.themoviedb.org/search?query=The%20Dropout%202022</t>
  </si>
  <si>
    <t>Startup fraud and ambition is the central narrative concern supported by the reviewed synopsis and classification sources.</t>
  </si>
  <si>
    <t>show:253370</t>
  </si>
  <si>
    <t>The Eastern Gate</t>
  </si>
  <si>
    <t>tt35503291</t>
  </si>
  <si>
    <t>253370</t>
  </si>
  <si>
    <t>espionage-and-hybrid-warfare</t>
  </si>
  <si>
    <t>spy-thriller; political-thriller; military-drama</t>
  </si>
  <si>
    <t>tense; suspenseful; serious; atmospheric</t>
  </si>
  <si>
    <t>https://www.imdb.com/title/tt35503291/</t>
  </si>
  <si>
    <t>https://www.themoviedb.org/search?query=The%20Eastern%20Gate%202025</t>
  </si>
  <si>
    <t>Espionage and hybrid warfare is the central narrative concern supported by the reviewed synopsis and classification sources.</t>
  </si>
  <si>
    <t>show:99346</t>
  </si>
  <si>
    <t>The English</t>
  </si>
  <si>
    <t>tt11771270</t>
  </si>
  <si>
    <t>99346</t>
  </si>
  <si>
    <t>revenge-and-frontier-violence</t>
  </si>
  <si>
    <t>revisionist-western; revenge-western; historical-drama</t>
  </si>
  <si>
    <t>atmospheric; brutal; lyrical; melancholic</t>
  </si>
  <si>
    <t>https://www.imdb.com/title/tt11771270/</t>
  </si>
  <si>
    <t>https://www.themoviedb.org/search?query=The%20English%202022</t>
  </si>
  <si>
    <t>Revenge and frontier violence is the central narrative concern supported by the reviewed synopsis and classification sources.</t>
  </si>
  <si>
    <t>show:226362</t>
  </si>
  <si>
    <t>The Eternaut</t>
  </si>
  <si>
    <t>tt27740241</t>
  </si>
  <si>
    <t>226362</t>
  </si>
  <si>
    <t>collective-survival-against-invasion</t>
  </si>
  <si>
    <t>alien-invasion; post-apocalyptic; survival-drama</t>
  </si>
  <si>
    <t>bleak; suspenseful; immersive; ominous</t>
  </si>
  <si>
    <t>https://www.imdb.com/title/tt27740241/</t>
  </si>
  <si>
    <t>https://www.themoviedb.org/search?query=The%20Eternaut%202025</t>
  </si>
  <si>
    <t>Collective survival against invasion is the central narrative concern supported by the reviewed synopsis and classification sources.</t>
  </si>
  <si>
    <t>movie:804095</t>
  </si>
  <si>
    <t>The Fabelmans</t>
  </si>
  <si>
    <t>tt14208870</t>
  </si>
  <si>
    <t>804095</t>
  </si>
  <si>
    <t>artistic-awakening-and-family-truth</t>
  </si>
  <si>
    <t>coming-of-age; family-drama; filmmaking-drama</t>
  </si>
  <si>
    <t>nostalgic; heartfelt; reflective; bittersweet</t>
  </si>
  <si>
    <t>https://www.imdb.com/title/tt14208870/</t>
  </si>
  <si>
    <t>https://www.themoviedb.org/search?query=The%20Fabelmans%202022</t>
  </si>
  <si>
    <t>Artistic awakening and family truth is the central narrative concern supported by the reviewed synopsis and classification sources.</t>
  </si>
  <si>
    <t>show:49010</t>
  </si>
  <si>
    <t>The Fall</t>
  </si>
  <si>
    <t>tt2294189</t>
  </si>
  <si>
    <t>49010</t>
  </si>
  <si>
    <t>serial-killer-investigation</t>
  </si>
  <si>
    <t>police-procedural; psychological-thriller; serial-killer-drama</t>
  </si>
  <si>
    <t>dark; tense; methodical; unsettling</t>
  </si>
  <si>
    <t>https://www.imdb.com/title/tt2294189/</t>
  </si>
  <si>
    <t>https://www.themoviedb.org/search?query=The%20Fall%202013</t>
  </si>
  <si>
    <t>Serial killer investigation is the central narrative concern supported by the reviewed synopsis and classification sources.</t>
  </si>
  <si>
    <t>show:157065</t>
  </si>
  <si>
    <t>The Fall of the House of Usher</t>
  </si>
  <si>
    <t>tt15567174</t>
  </si>
  <si>
    <t>157065</t>
  </si>
  <si>
    <t>corruption-and-retribution</t>
  </si>
  <si>
    <t>gothic-horror; family-saga; supernatural-horror</t>
  </si>
  <si>
    <t>macabre; atmospheric; dark; satirical</t>
  </si>
  <si>
    <t>https://www.imdb.com/title/tt15567174/</t>
  </si>
  <si>
    <t>https://www.themoviedb.org/search?query=The%20Fall%20of%20the%20House%20of%20Usher%202023</t>
  </si>
  <si>
    <t>Corruption and retribution is the central narrative concern supported by the reviewed synopsis and classification sources.</t>
  </si>
  <si>
    <t>movie:45317</t>
  </si>
  <si>
    <t>The Fighter</t>
  </si>
  <si>
    <t>tt0964517</t>
  </si>
  <si>
    <t>45317</t>
  </si>
  <si>
    <t>family-and-boxing-redemption</t>
  </si>
  <si>
    <t>boxing-drama; biography; family-drama</t>
  </si>
  <si>
    <t>gritty; inspirational; emotional; character-driven</t>
  </si>
  <si>
    <t>https://www.imdb.com/title/tt0964517/</t>
  </si>
  <si>
    <t>https://www.themoviedb.org/search?query=The%20Fighter%202010</t>
  </si>
  <si>
    <t>Family and boxing redemption is the central narrative concern supported by the reviewed synopsis and classification sources.</t>
  </si>
  <si>
    <t>movie:310307</t>
  </si>
  <si>
    <t>The Founder</t>
  </si>
  <si>
    <t>tt4276820</t>
  </si>
  <si>
    <t>310307</t>
  </si>
  <si>
    <t>business-ambition-and-betrayal</t>
  </si>
  <si>
    <t>business-drama; historical-drama; character-study</t>
  </si>
  <si>
    <t>sharp; cynical; energetic; character-driven</t>
  </si>
  <si>
    <t>https://www.imdb.com/title/tt4276820/</t>
  </si>
  <si>
    <t>https://www.themoviedb.org/search?query=The%20Founder%202016</t>
  </si>
  <si>
    <t>Business ambition and betrayal is the central narrative concern supported by the reviewed synopsis and classification sources.</t>
  </si>
  <si>
    <t>show:243316</t>
  </si>
  <si>
    <t>The Four Seasons</t>
  </si>
  <si>
    <t>tt30826447</t>
  </si>
  <si>
    <t>243316</t>
  </si>
  <si>
    <t>friendship-and-marital-change</t>
  </si>
  <si>
    <t>relationship-comedy; ensemble-comedy; dramedy</t>
  </si>
  <si>
    <t>warm; witty; bittersweet; character-driven</t>
  </si>
  <si>
    <t>https://www.imdb.com/title/tt30826447/</t>
  </si>
  <si>
    <t>https://www.themoviedb.org/search?query=The%20Four%20Seasons%202025</t>
  </si>
  <si>
    <t>Friendship and marital change is the central narrative concern supported by the reviewed synopsis and classification sources.</t>
  </si>
  <si>
    <t>show:236235</t>
  </si>
  <si>
    <t>The Gentlemen</t>
  </si>
  <si>
    <t>tt13210838</t>
  </si>
  <si>
    <t>236235</t>
  </si>
  <si>
    <t>criminal-enterprise-and-class</t>
  </si>
  <si>
    <t>gangster; crime-comedy; action-crime</t>
  </si>
  <si>
    <t>stylish; witty; violent; fast-paced</t>
  </si>
  <si>
    <t>https://www.imdb.com/title/tt13210838/</t>
  </si>
  <si>
    <t>https://www.themoviedb.org/search?query=The%20Gentlemen%202024</t>
  </si>
  <si>
    <t>Criminal enterprise and class is the central narrative concern supported by the reviewed synopsis and classification sources.</t>
  </si>
  <si>
    <t>show:107114</t>
  </si>
  <si>
    <t>The Girl From Plainville</t>
  </si>
  <si>
    <t>tt12851512</t>
  </si>
  <si>
    <t>107114</t>
  </si>
  <si>
    <t>digital-coercion-and-accountability</t>
  </si>
  <si>
    <t>somber; unsettling; intimate; serious</t>
  </si>
  <si>
    <t>https://www.imdb.com/title/tt12851512/</t>
  </si>
  <si>
    <t>https://www.themoviedb.org/search?query=The%20Girl%20From%20Plainville%202022</t>
  </si>
  <si>
    <t>Digital coercion and accountability is the central narrative concern supported by the reviewed synopsis and classification sources.</t>
  </si>
  <si>
    <t>movie:346685</t>
  </si>
  <si>
    <t>The Girl on the Train</t>
  </si>
  <si>
    <t>tt3631112</t>
  </si>
  <si>
    <t>346685</t>
  </si>
  <si>
    <t>memory-and-murder</t>
  </si>
  <si>
    <t>psychological-thriller; murder-mystery; domestic-noir</t>
  </si>
  <si>
    <t>dark; twisty; suspenseful; unreliable</t>
  </si>
  <si>
    <t>https://www.imdb.com/title/tt3631112/</t>
  </si>
  <si>
    <t>https://www.themoviedb.org/search?query=The%20Girl%20on%20the%20Train%202016</t>
  </si>
  <si>
    <t>Memory and murder is the central narrative concern supported by the reviewed synopsis and classification sources.</t>
  </si>
  <si>
    <t>show:64387</t>
  </si>
  <si>
    <t>The Girlfriend Experience</t>
  </si>
  <si>
    <t>tt3846642</t>
  </si>
  <si>
    <t>64387</t>
  </si>
  <si>
    <t>intimacy-and-transactional-power</t>
  </si>
  <si>
    <t>anthology; psychological-drama; erotic-drama</t>
  </si>
  <si>
    <t>cool; provocative; cerebral; detached</t>
  </si>
  <si>
    <t>https://www.imdb.com/title/tt3846642/</t>
  </si>
  <si>
    <t>https://www.themoviedb.org/search?query=The%20Girlfriend%20Experience%202016</t>
  </si>
  <si>
    <t>Intimacy and transactional power is the central narrative concern supported by the reviewed synopsis and classification sources.</t>
  </si>
  <si>
    <t>show:218351</t>
  </si>
  <si>
    <t>The Gold</t>
  </si>
  <si>
    <t>tt14063678</t>
  </si>
  <si>
    <t>218351</t>
  </si>
  <si>
    <t>heist-aftermath-and-corruption</t>
  </si>
  <si>
    <t>heist-drama; historical-drama; police-procedural</t>
  </si>
  <si>
    <t>gritty; intricate; suspenseful; character-driven</t>
  </si>
  <si>
    <t>https://www.imdb.com/title/tt14063678/</t>
  </si>
  <si>
    <t>https://www.themoviedb.org/search?query=The%20Gold%202023</t>
  </si>
  <si>
    <t>Heist aftermath and corruption is the central narrative concern supported by the reviewed synopsis and classification sources.</t>
  </si>
  <si>
    <t>show:69158</t>
  </si>
  <si>
    <t>The Good Fight</t>
  </si>
  <si>
    <t>tt5853176</t>
  </si>
  <si>
    <t>69158</t>
  </si>
  <si>
    <t>law-and-political-resistance</t>
  </si>
  <si>
    <t>legal-drama; political-drama; workplace-drama</t>
  </si>
  <si>
    <t>sharp; satirical; cerebral; provocative</t>
  </si>
  <si>
    <t>https://www.imdb.com/title/tt5853176/</t>
  </si>
  <si>
    <t>https://www.themoviedb.org/search?query=The%20Good%20Fight%202017</t>
  </si>
  <si>
    <t>Law and political resistance is the central narrative concern supported by the reviewed synopsis and classification sources.</t>
  </si>
  <si>
    <t>show:87523</t>
  </si>
  <si>
    <t>The Good Lord Bird</t>
  </si>
  <si>
    <t>tt3673480</t>
  </si>
  <si>
    <t>87523</t>
  </si>
  <si>
    <t>abolition-and-violent-resistance</t>
  </si>
  <si>
    <t>historical-drama; dark-comedy; coming-of-age</t>
  </si>
  <si>
    <t>irreverent; energetic; satirical; tragic</t>
  </si>
  <si>
    <t>https://www.imdb.com/title/tt3673480/</t>
  </si>
  <si>
    <t>https://www.themoviedb.org/search?query=The%20Good%20Lord%20Bird%202020</t>
  </si>
  <si>
    <t>Abolition and violent resistance is the central narrative concern supported by the reviewed synopsis and classification sources.</t>
  </si>
  <si>
    <t>show:1435</t>
  </si>
  <si>
    <t>The Good Wife</t>
  </si>
  <si>
    <t>tt1442462</t>
  </si>
  <si>
    <t>1435</t>
  </si>
  <si>
    <t>professional-reinvention-and-integrity</t>
  </si>
  <si>
    <t>intelligent; polished; character-driven; tense</t>
  </si>
  <si>
    <t>https://www.imdb.com/title/tt1442462/</t>
  </si>
  <si>
    <t>https://www.themoviedb.org/search?query=The%20Good%20Wife%202009</t>
  </si>
  <si>
    <t>Professional reinvention and integrity is the central narrative concern supported by the reviewed synopsis and classification sources.</t>
  </si>
  <si>
    <t>show:93812</t>
  </si>
  <si>
    <t>The Great</t>
  </si>
  <si>
    <t>tt2235759</t>
  </si>
  <si>
    <t>93812</t>
  </si>
  <si>
    <t>power-and-reinvention</t>
  </si>
  <si>
    <t>historical-satire; political-comedy; black-comedy</t>
  </si>
  <si>
    <t>irreverent; witty; lavish; satirical</t>
  </si>
  <si>
    <t>https://www.imdb.com/title/tt2235759/</t>
  </si>
  <si>
    <t>https://www.themoviedb.org/search?query=The%20Great%202020</t>
  </si>
  <si>
    <t>Power and reinvention is the central narrative concern supported by the reviewed synopsis and classification sources.</t>
  </si>
  <si>
    <t>show:69478</t>
  </si>
  <si>
    <t>The Handmaid's Tale</t>
  </si>
  <si>
    <t>tt5834204</t>
  </si>
  <si>
    <t>69478</t>
  </si>
  <si>
    <t>reproductive-oppression-and-resistance</t>
  </si>
  <si>
    <t>dystopian; political-drama; feminist-drama</t>
  </si>
  <si>
    <t>bleak; intense; unsettling; defiant</t>
  </si>
  <si>
    <t>https://www.imdb.com/title/tt5834204/</t>
  </si>
  <si>
    <t>https://www.themoviedb.org/search?query=The%20Handmaid%27s%20Tale%202017</t>
  </si>
  <si>
    <t>Reproductive oppression and resistance is the central narrative concern supported by the reviewed synopsis and classification sources.</t>
  </si>
  <si>
    <t>movie:273248</t>
  </si>
  <si>
    <t>The Hateful Eight</t>
  </si>
  <si>
    <t>tt3460252</t>
  </si>
  <si>
    <t>273248</t>
  </si>
  <si>
    <t>distrust-and-vengeance</t>
  </si>
  <si>
    <t>mystery-western; chamber-drama; revisionist-western</t>
  </si>
  <si>
    <t>tense; violent; claustrophobic; darkly-comic</t>
  </si>
  <si>
    <t>https://www.imdb.com/title/tt3460252/</t>
  </si>
  <si>
    <t>https://www.themoviedb.org/search?query=The%20Hateful%20Eight%202015</t>
  </si>
  <si>
    <t>Distrust and vengeance is the central narrative concern supported by the reviewed synopsis and classification sources.</t>
  </si>
  <si>
    <t>movie:840430</t>
  </si>
  <si>
    <t>The Holdovers</t>
  </si>
  <si>
    <t>tt14849194</t>
  </si>
  <si>
    <t>840430</t>
  </si>
  <si>
    <t>loneliness-and-unlikely-connection</t>
  </si>
  <si>
    <t>dramedy; school-drama; holiday-film</t>
  </si>
  <si>
    <t>warm; melancholic; witty; heartfelt</t>
  </si>
  <si>
    <t>https://www.imdb.com/title/tt14849194/</t>
  </si>
  <si>
    <t>https://www.themoviedb.org/search?query=The%20Holdovers%202023</t>
  </si>
  <si>
    <t>Loneliness and unlikely connection is the central narrative concern supported by the reviewed synopsis and classification sources.</t>
  </si>
  <si>
    <t>show:61123</t>
  </si>
  <si>
    <t>The Honourable Woman</t>
  </si>
  <si>
    <t>tt3021686</t>
  </si>
  <si>
    <t>61123</t>
  </si>
  <si>
    <t>middle-east-diplomacy-and-secrets</t>
  </si>
  <si>
    <t>political-thriller; spy-drama; family-drama</t>
  </si>
  <si>
    <t>complex; tense; cerebral; suspenseful</t>
  </si>
  <si>
    <t>https://www.imdb.com/title/tt3021686/</t>
  </si>
  <si>
    <t>https://www.themoviedb.org/search?query=The%20Honourable%20Woman%202014</t>
  </si>
  <si>
    <t>Middle east diplomacy and secrets is the central narrative concern supported by the reviewed synopsis and classification sources.</t>
  </si>
  <si>
    <t>show:217825</t>
  </si>
  <si>
    <t>The Horror of Dolores Roach</t>
  </si>
  <si>
    <t>tt9174630</t>
  </si>
  <si>
    <t>217825</t>
  </si>
  <si>
    <t>survival-and-moral-descent</t>
  </si>
  <si>
    <t>horror-comedy; urban-gothic; crime-horror</t>
  </si>
  <si>
    <t>darkly-comic; macabre; gritty; provocative</t>
  </si>
  <si>
    <t>https://www.imdb.com/title/tt9174630/</t>
  </si>
  <si>
    <t>https://www.themoviedb.org/search?query=The%20Horror%20of%20Dolores%20Roach%202023</t>
  </si>
  <si>
    <t>Survival and moral descent is the central narrative concern supported by the reviewed synopsis and classification sources.</t>
  </si>
  <si>
    <t>movie:131634</t>
  </si>
  <si>
    <t>The Hunger Games: Mockingjay - Part 2</t>
  </si>
  <si>
    <t>tt1951266</t>
  </si>
  <si>
    <t>131634</t>
  </si>
  <si>
    <t>rebellion-and-authoritarian-power</t>
  </si>
  <si>
    <t>dystopian; war-adventure; young-adult</t>
  </si>
  <si>
    <t>dark; intense; suspenseful; somber</t>
  </si>
  <si>
    <t>https://www.imdb.com/title/tt1951266/</t>
  </si>
  <si>
    <t>https://www.themoviedb.org/search?query=The%20Hunger%20Games%3A%20Mockingjay%20-%20Part%202%202015</t>
  </si>
  <si>
    <t>Rebellion and authoritarian power is the central narrative concern supported by the reviewed synopsis and classification sources.</t>
  </si>
  <si>
    <t>movie:695721</t>
  </si>
  <si>
    <t>The Hunger Games: The Ballad of Songbirds &amp; Snakes</t>
  </si>
  <si>
    <t>tt10545296</t>
  </si>
  <si>
    <t>695721</t>
  </si>
  <si>
    <t>ambition-and-authoritarian-formation</t>
  </si>
  <si>
    <t>dystopian; political-drama; young-adult</t>
  </si>
  <si>
    <t>dark; tense; character-driven; ominous</t>
  </si>
  <si>
    <t>https://www.imdb.com/title/tt10545296/</t>
  </si>
  <si>
    <t>https://www.themoviedb.org/search?query=The%20Hunger%20Games%3A%20The%20Ballad%20of%20Songbirds%20%26%20Snakes%202023</t>
  </si>
  <si>
    <t>Ambition and authoritarian formation is the central narrative concern supported by the reviewed synopsis and classification sources.</t>
  </si>
  <si>
    <t>movie:12162</t>
  </si>
  <si>
    <t>The Hurt Locker</t>
  </si>
  <si>
    <t>tt0887912</t>
  </si>
  <si>
    <t>12162</t>
  </si>
  <si>
    <t>combat-addiction</t>
  </si>
  <si>
    <t>military-drama; psychological-drama; bomb-disposal</t>
  </si>
  <si>
    <t>intense; immersive; tense; gritty</t>
  </si>
  <si>
    <t>https://www.imdb.com/title/tt0887912/</t>
  </si>
  <si>
    <t>https://www.themoviedb.org/search?query=The%20Hurt%20Locker%202008</t>
  </si>
  <si>
    <t>Combat addiction is the central narrative concern supported by the reviewed synopsis and classification sources.</t>
  </si>
  <si>
    <t>show:135251</t>
  </si>
  <si>
    <t>The Idol</t>
  </si>
  <si>
    <t>tt14954666</t>
  </si>
  <si>
    <t>135251</t>
  </si>
  <si>
    <t>music-drama; psychological-drama; show-business-drama</t>
  </si>
  <si>
    <t>https://www.imdb.com/title/tt14954666/</t>
  </si>
  <si>
    <t>https://www.themoviedb.org/search?query=The%20Idol%202023</t>
  </si>
  <si>
    <t>Fame and exploitation is the central narrative concern supported by the reviewed synopsis and classification sources.</t>
  </si>
  <si>
    <t>show:253372</t>
  </si>
  <si>
    <t>The Institute</t>
  </si>
  <si>
    <t>tt10946316</t>
  </si>
  <si>
    <t>253372</t>
  </si>
  <si>
    <t>institutional-abuse-of-gifted-children</t>
  </si>
  <si>
    <t>psychic-thriller; conspiracy-drama; horror</t>
  </si>
  <si>
    <t>dark; suspenseful; unsettling; character-driven</t>
  </si>
  <si>
    <t>https://www.imdb.com/title/tt10946316/</t>
  </si>
  <si>
    <t>https://www.themoviedb.org/search?query=The%20Institute%202025</t>
  </si>
  <si>
    <t>Institutional abuse of gifted children is the central narrative concern supported by the reviewed synopsis and classification sources.</t>
  </si>
  <si>
    <t>movie:398978</t>
  </si>
  <si>
    <t>The Irishman</t>
  </si>
  <si>
    <t>tt1302006</t>
  </si>
  <si>
    <t>398978</t>
  </si>
  <si>
    <t>crime-loyalty-and-regret</t>
  </si>
  <si>
    <t>gangster; historical-drama; character-study</t>
  </si>
  <si>
    <t>melancholic; reflective; deliberate; somber</t>
  </si>
  <si>
    <t>https://www.imdb.com/title/tt1302006/</t>
  </si>
  <si>
    <t>https://www.themoviedb.org/search?query=The%20Irishman%202019</t>
  </si>
  <si>
    <t>Crime loyalty and regret is the central narrative concern supported by the reviewed synopsis and classification sources.</t>
  </si>
  <si>
    <t>movie:850165</t>
  </si>
  <si>
    <t>The Iron Claw</t>
  </si>
  <si>
    <t>tt21064584</t>
  </si>
  <si>
    <t>850165</t>
  </si>
  <si>
    <t>family-pressure-and-tragedy</t>
  </si>
  <si>
    <t>wrestling-drama; biography; family-tragedy</t>
  </si>
  <si>
    <t>emotional; tragic; intense; character-driven</t>
  </si>
  <si>
    <t>https://www.imdb.com/title/tt21064584/</t>
  </si>
  <si>
    <t>https://www.themoviedb.org/search?query=The%20Iron%20Claw%202023</t>
  </si>
  <si>
    <t>Family pressure and tragedy is the central narrative concern supported by the reviewed synopsis and classification sources.</t>
  </si>
  <si>
    <t>show:34415</t>
  </si>
  <si>
    <t>The Killing</t>
  </si>
  <si>
    <t>tt1637727</t>
  </si>
  <si>
    <t>34415</t>
  </si>
  <si>
    <t>murder-and-institutional-fallout</t>
  </si>
  <si>
    <t>police-procedural; murder-mystery; political-drama</t>
  </si>
  <si>
    <t>bleak; atmospheric; slow-burn; suspenseful</t>
  </si>
  <si>
    <t>https://www.imdb.com/title/tt1637727/</t>
  </si>
  <si>
    <t>https://www.themoviedb.org/search?query=The%20Killing%202011</t>
  </si>
  <si>
    <t>Murder and institutional fallout is the central narrative concern supported by the reviewed synopsis and classification sources.</t>
  </si>
  <si>
    <t>show:61014</t>
  </si>
  <si>
    <t>The Knick</t>
  </si>
  <si>
    <t>tt2937900</t>
  </si>
  <si>
    <t>61014</t>
  </si>
  <si>
    <t>medical-innovation-and-addiction</t>
  </si>
  <si>
    <t>medical-drama; historical-drama; workplace-drama</t>
  </si>
  <si>
    <t>gritty; visceral; cerebral; atmospheric</t>
  </si>
  <si>
    <t>https://www.imdb.com/title/tt2937900/</t>
  </si>
  <si>
    <t>https://www.themoviedb.org/search?query=The%20Knick%202014</t>
  </si>
  <si>
    <t>Medical innovation and addiction is the central narrative concern supported by the reviewed synopsis and classification sources.</t>
  </si>
  <si>
    <t>show:79525</t>
  </si>
  <si>
    <t>The Last Dance</t>
  </si>
  <si>
    <t>tt8420184</t>
  </si>
  <si>
    <t>79525</t>
  </si>
  <si>
    <t>athletic-dynasty-and-legacy</t>
  </si>
  <si>
    <t>sports-documentary; biography; docuseries</t>
  </si>
  <si>
    <t>energetic; nostalgic; competitive; reflective</t>
  </si>
  <si>
    <t>https://www.imdb.com/title/tt8420184/</t>
  </si>
  <si>
    <t>https://www.themoviedb.org/search?query=The%20Last%20Dance%202020</t>
  </si>
  <si>
    <t>Athletic dynasty and legacy is the central narrative concern supported by the reviewed synopsis and classification sources.</t>
  </si>
  <si>
    <t>show:100088</t>
  </si>
  <si>
    <t>The Last of Us</t>
  </si>
  <si>
    <t>tt3581920</t>
  </si>
  <si>
    <t>100088</t>
  </si>
  <si>
    <t>love-and-survival-after-collapse</t>
  </si>
  <si>
    <t>post-apocalyptic; survival-drama; road-drama</t>
  </si>
  <si>
    <t>emotional; bleak; tense; character-driven</t>
  </si>
  <si>
    <t>https://www.imdb.com/title/tt3581920/</t>
  </si>
  <si>
    <t>https://www.themoviedb.org/search?query=The%20Last%20of%20Us%202023</t>
  </si>
  <si>
    <t>Love and survival after collapse is the central narrative concern supported by the reviewed synopsis and classification sources.</t>
  </si>
  <si>
    <t>show:201289</t>
  </si>
  <si>
    <t>The Last Thing He Told Me</t>
  </si>
  <si>
    <t>tt13745850</t>
  </si>
  <si>
    <t>201289</t>
  </si>
  <si>
    <t>family-secrets-and-protection</t>
  </si>
  <si>
    <t>family-drama; conspiracy-thriller; missing-person-mystery</t>
  </si>
  <si>
    <t>suspenseful; emotional; twisty; character-driven</t>
  </si>
  <si>
    <t>https://www.imdb.com/title/tt13745850/</t>
  </si>
  <si>
    <t>https://www.themoviedb.org/search?query=The%20Last%20Thing%20He%20Told%20Me%202023</t>
  </si>
  <si>
    <t>Family secrets and protection is the central narrative concern supported by the reviewed synopsis and classification sources.</t>
  </si>
  <si>
    <t>show:54344</t>
  </si>
  <si>
    <t>The Leftovers</t>
  </si>
  <si>
    <t>tt2699128</t>
  </si>
  <si>
    <t>54344</t>
  </si>
  <si>
    <t>grief-and-meaning</t>
  </si>
  <si>
    <t>mystery-drama; psychological-drama; speculative-fiction</t>
  </si>
  <si>
    <t>melancholic; spiritual; surreal; character-driven</t>
  </si>
  <si>
    <t>https://www.imdb.com/title/tt2699128/</t>
  </si>
  <si>
    <t>https://www.themoviedb.org/search?query=The%20Leftovers%202014</t>
  </si>
  <si>
    <t>Grief and meaning is the central narrative concern supported by the reviewed synopsis and classification sources.</t>
  </si>
  <si>
    <t>show:116799</t>
  </si>
  <si>
    <t>The Lincoln Lawyer</t>
  </si>
  <si>
    <t>tt13833978</t>
  </si>
  <si>
    <t>116799</t>
  </si>
  <si>
    <t>justice-and-legal-strategy</t>
  </si>
  <si>
    <t>legal-drama; crime-mystery; courtroom-drama</t>
  </si>
  <si>
    <t>witty; suspenseful; polished; character-driven</t>
  </si>
  <si>
    <t>https://www.imdb.com/title/tt13833978/</t>
  </si>
  <si>
    <t>https://www.themoviedb.org/search?query=The%20Lincoln%20Lawyer%202022</t>
  </si>
  <si>
    <t>Justice and legal strategy is the central narrative concern supported by the reviewed synopsis and classification sources.</t>
  </si>
  <si>
    <t>movie:254320</t>
  </si>
  <si>
    <t>The Lobster</t>
  </si>
  <si>
    <t>tt3464902</t>
  </si>
  <si>
    <t>254320</t>
  </si>
  <si>
    <t>social-conformity-and-romance</t>
  </si>
  <si>
    <t>absurdist-comedy; dystopian-romance; black-comedy</t>
  </si>
  <si>
    <t>deadpan; surreal; dark; satirical</t>
  </si>
  <si>
    <t>https://www.imdb.com/title/tt3464902/</t>
  </si>
  <si>
    <t>https://www.themoviedb.org/search?query=The%20Lobster%202015</t>
  </si>
  <si>
    <t>Social conformity and romance is the central narrative concern supported by the reviewed synopsis and classification sources.</t>
  </si>
  <si>
    <t>show:273247</t>
  </si>
  <si>
    <t>The Lowdown</t>
  </si>
  <si>
    <t>tt31289994</t>
  </si>
  <si>
    <t>273247</t>
  </si>
  <si>
    <t>investigative-truth-and-corruption</t>
  </si>
  <si>
    <t>neo-noir; investigative-drama; dark-comedy</t>
  </si>
  <si>
    <t>offbeat; gritty; witty; atmospheric</t>
  </si>
  <si>
    <t>https://www.imdb.com/title/tt31289994/</t>
  </si>
  <si>
    <t>https://www.themoviedb.org/search?query=The%20Lowdown%202025</t>
  </si>
  <si>
    <t>Investigative truth and corruption is the central narrative concern supported by the reviewed synopsis and classification sources.</t>
  </si>
  <si>
    <t>show:225891</t>
  </si>
  <si>
    <t>The Madison</t>
  </si>
  <si>
    <t>tt33204276</t>
  </si>
  <si>
    <t>225891</t>
  </si>
  <si>
    <t>grief-and-family-reconnection</t>
  </si>
  <si>
    <t>family-drama; neo-western; ensemble-drama</t>
  </si>
  <si>
    <t>emotional; reflective; scenic; character-driven</t>
  </si>
  <si>
    <t>https://www.imdb.com/title/tt33204276/</t>
  </si>
  <si>
    <t>https://www.themoviedb.org/search?query=The%20Madison%202026</t>
  </si>
  <si>
    <t>Grief and family reconnection is the central narrative concern supported by the reviewed synopsis and classification sources.</t>
  </si>
  <si>
    <t>show:82856</t>
  </si>
  <si>
    <t>The Mandalorian</t>
  </si>
  <si>
    <t>tt8111088</t>
  </si>
  <si>
    <t>82856</t>
  </si>
  <si>
    <t>found-family-and-protection</t>
  </si>
  <si>
    <t>space-western; adventure; bounty-hunter-drama</t>
  </si>
  <si>
    <t>adventurous; heartfelt; atmospheric; heroic</t>
  </si>
  <si>
    <t>https://www.imdb.com/title/tt8111088/</t>
  </si>
  <si>
    <t>https://www.themoviedb.org/search?query=The%20Mandalorian%202019</t>
  </si>
  <si>
    <t>Found family and protection is the central narrative concern supported by the reviewed synopsis and classification sources.</t>
  </si>
  <si>
    <t>movie:286217</t>
  </si>
  <si>
    <t>The Martian</t>
  </si>
  <si>
    <t>tt3659388</t>
  </si>
  <si>
    <t>286217</t>
  </si>
  <si>
    <t>scientific-survival</t>
  </si>
  <si>
    <t>space-survival; hard-science-fiction; adventure</t>
  </si>
  <si>
    <t>optimistic; suspenseful; witty; inspirational</t>
  </si>
  <si>
    <t>https://www.imdb.com/title/tt3659388/</t>
  </si>
  <si>
    <t>https://www.themoviedb.org/search?query=The%20Martian%202015</t>
  </si>
  <si>
    <t>Scientific survival is the central narrative concern supported by the reviewed synopsis and classification sources.</t>
  </si>
  <si>
    <t>show:70796</t>
  </si>
  <si>
    <t>The Marvelous Mrs. Maisel</t>
  </si>
  <si>
    <t>tt5788792</t>
  </si>
  <si>
    <t>70796</t>
  </si>
  <si>
    <t>female-creative-ambition</t>
  </si>
  <si>
    <t>period-comedy; show-business-comedy; family-drama</t>
  </si>
  <si>
    <t>witty; vibrant; fast-paced; heartfelt</t>
  </si>
  <si>
    <t>https://www.imdb.com/title/tt5788792/</t>
  </si>
  <si>
    <t>https://www.themoviedb.org/search?query=The%20Marvelous%20Mrs.%20Maisel%202017</t>
  </si>
  <si>
    <t>Female creative ambition is the central narrative concern supported by the reviewed synopsis and classification sources.</t>
  </si>
  <si>
    <t>movie:593643</t>
  </si>
  <si>
    <t>The Menu</t>
  </si>
  <si>
    <t>tt9764362</t>
  </si>
  <si>
    <t>593643</t>
  </si>
  <si>
    <t>class-resentment-and-culinary-elitism</t>
  </si>
  <si>
    <t>horror-comedy; social-satire; chamber-thriller</t>
  </si>
  <si>
    <t>darkly-comic; tense; satirical; stylish</t>
  </si>
  <si>
    <t>https://www.imdb.com/title/tt9764362/</t>
  </si>
  <si>
    <t>https://www.themoviedb.org/search?query=The%20Menu%202022</t>
  </si>
  <si>
    <t>Class resentment and culinary elitism is the central narrative concern supported by the reviewed synopsis and classification sources.</t>
  </si>
  <si>
    <t>show:90282</t>
  </si>
  <si>
    <t>The Morning Show</t>
  </si>
  <si>
    <t>tt7203552</t>
  </si>
  <si>
    <t>90282</t>
  </si>
  <si>
    <t>workplace-power-and-accountability</t>
  </si>
  <si>
    <t>workplace-drama; media-drama; satire</t>
  </si>
  <si>
    <t>polished; tense; provocative; character-driven</t>
  </si>
  <si>
    <t>https://www.imdb.com/title/tt7203552/</t>
  </si>
  <si>
    <t>https://www.themoviedb.org/search?query=The%20Morning%20Show%202019</t>
  </si>
  <si>
    <t>Workplace power and accountability is the central narrative concern supported by the reviewed synopsis and classification sources.</t>
  </si>
  <si>
    <t>show:93716</t>
  </si>
  <si>
    <t>The Mosquito Coast</t>
  </si>
  <si>
    <t>tt11041132</t>
  </si>
  <si>
    <t>93716</t>
  </si>
  <si>
    <t>family-flight-and-idealism</t>
  </si>
  <si>
    <t>adventure-thriller; family-drama; fugitive-drama</t>
  </si>
  <si>
    <t>tense; atmospheric; suspenseful; character-driven</t>
  </si>
  <si>
    <t>https://www.imdb.com/title/tt11041132/</t>
  </si>
  <si>
    <t>https://www.themoviedb.org/search?query=The%20Mosquito%20Coast%202021</t>
  </si>
  <si>
    <t>Family flight and idealism is the central narrative concern supported by the reviewed synopsis and classification sources.</t>
  </si>
  <si>
    <t>movie:504172</t>
  </si>
  <si>
    <t>The Mule</t>
  </si>
  <si>
    <t>tt7959026</t>
  </si>
  <si>
    <t>504172</t>
  </si>
  <si>
    <t>late-life-criminal-redemption</t>
  </si>
  <si>
    <t>drug-crime; road-drama; character-study</t>
  </si>
  <si>
    <t>reflective; tense; understated; bittersweet</t>
  </si>
  <si>
    <t>https://www.imdb.com/title/tt7959026/</t>
  </si>
  <si>
    <t>https://www.themoviedb.org/search?query=The%20Mule%202018</t>
  </si>
  <si>
    <t>Late life criminal redemption is the central narrative concern supported by the reviewed synopsis and classification sources.</t>
  </si>
  <si>
    <t>show:15621</t>
  </si>
  <si>
    <t>The Newsroom</t>
  </si>
  <si>
    <t>tt1870479</t>
  </si>
  <si>
    <t>15621</t>
  </si>
  <si>
    <t>journalistic-idealism</t>
  </si>
  <si>
    <t>workplace-drama; political-drama; media-drama</t>
  </si>
  <si>
    <t>cerebral; witty; earnest; fast-paced</t>
  </si>
  <si>
    <t>https://www.imdb.com/title/tt1870479/</t>
  </si>
  <si>
    <t>https://www.themoviedb.org/search?query=The%20Newsroom%202012</t>
  </si>
  <si>
    <t>Journalistic idealism is the central narrative concern supported by the reviewed synopsis and classification sources.</t>
  </si>
  <si>
    <t>Batch 10</t>
  </si>
  <si>
    <t>movie:290250</t>
  </si>
  <si>
    <t>The Nice Guys</t>
  </si>
  <si>
    <t>tt3799694</t>
  </si>
  <si>
    <t>290250</t>
  </si>
  <si>
    <t>corruption-and-unlikely-partnership</t>
  </si>
  <si>
    <t>detective-comedy; neo-noir; buddy-comedy</t>
  </si>
  <si>
    <t>witty; irreverent; stylish; fast-paced</t>
  </si>
  <si>
    <t>https://www.imdb.com/title/tt3799694/</t>
  </si>
  <si>
    <t>https://www.themoviedb.org/search?query=The%20Nice%20Guys%202016</t>
  </si>
  <si>
    <t>Corruption and unlikely partnership is the central narrative concern supported by the reviewed synopsis and classification sources.</t>
  </si>
  <si>
    <t>show:129552</t>
  </si>
  <si>
    <t>The Night Agent</t>
  </si>
  <si>
    <t>tt13918776</t>
  </si>
  <si>
    <t>129552</t>
  </si>
  <si>
    <t>government-conspiracy-and-duty</t>
  </si>
  <si>
    <t>conspiracy-thriller; spy-thriller; action-thriller</t>
  </si>
  <si>
    <t>tense; suspenseful; fast-paced; character-driven</t>
  </si>
  <si>
    <t>https://www.imdb.com/title/tt13918776/</t>
  </si>
  <si>
    <t>https://www.themoviedb.org/search?query=The%20Night%20Agent%202023</t>
  </si>
  <si>
    <t>Government conspiracy and duty is the central narrative concern supported by the reviewed synopsis and classification sources.</t>
  </si>
  <si>
    <t>show:61859</t>
  </si>
  <si>
    <t>The Night Manager</t>
  </si>
  <si>
    <t>tt1399664</t>
  </si>
  <si>
    <t>61859</t>
  </si>
  <si>
    <t>infiltrating-arms-trafficking</t>
  </si>
  <si>
    <t>spy-thriller; undercover-drama; political-thriller</t>
  </si>
  <si>
    <t>stylish; tense; suspenseful; cerebral</t>
  </si>
  <si>
    <t>https://www.imdb.com/title/tt1399664/</t>
  </si>
  <si>
    <t>https://www.themoviedb.org/search?query=The%20Night%20Manager%202016</t>
  </si>
  <si>
    <t>Infiltrating arms trafficking is the central narrative concern supported by the reviewed synopsis and classification sources.</t>
  </si>
  <si>
    <t>show:66276</t>
  </si>
  <si>
    <t>The Night Of</t>
  </si>
  <si>
    <t>tt2401256</t>
  </si>
  <si>
    <t>66276</t>
  </si>
  <si>
    <t>criminal-justice-and-identity</t>
  </si>
  <si>
    <t>legal-drama; prison-drama; murder-mystery</t>
  </si>
  <si>
    <t>bleak; tense; atmospheric; character-driven</t>
  </si>
  <si>
    <t>https://www.imdb.com/title/tt2401256/</t>
  </si>
  <si>
    <t>https://www.themoviedb.org/search?query=The%20Night%20Of%202016</t>
  </si>
  <si>
    <t>Criminal justice and identity is the central narrative concern supported by the reviewed synopsis and classification sources.</t>
  </si>
  <si>
    <t>show:2316</t>
  </si>
  <si>
    <t>The Office</t>
  </si>
  <si>
    <t>tt0386676</t>
  </si>
  <si>
    <t>2316</t>
  </si>
  <si>
    <t>awkward; witty; warm; character-driven</t>
  </si>
  <si>
    <t>https://www.imdb.com/title/tt0386676/</t>
  </si>
  <si>
    <t>https://www.themoviedb.org/search?query=The%20Office%202005</t>
  </si>
  <si>
    <t>Workplace community is the central narrative concern supported by the reviewed synopsis and classification sources.</t>
  </si>
  <si>
    <t>show:111800</t>
  </si>
  <si>
    <t>The Old Man</t>
  </si>
  <si>
    <t>tt5645432</t>
  </si>
  <si>
    <t>111800</t>
  </si>
  <si>
    <t>espionage-past-and-consequences</t>
  </si>
  <si>
    <t>spy-thriller; action-drama; character-study</t>
  </si>
  <si>
    <t>tense; brooding; suspenseful; character-driven</t>
  </si>
  <si>
    <t>https://www.imdb.com/title/tt5645432/</t>
  </si>
  <si>
    <t>https://www.themoviedb.org/search?query=The%20Old%20Man%202022</t>
  </si>
  <si>
    <t>Espionage past and consequences is the central narrative concern supported by the reviewed synopsis and classification sources.</t>
  </si>
  <si>
    <t>show:71738</t>
  </si>
  <si>
    <t>The Orville</t>
  </si>
  <si>
    <t>tt5691552</t>
  </si>
  <si>
    <t>71738</t>
  </si>
  <si>
    <t>space-exploration-and-ethical-dilemmas</t>
  </si>
  <si>
    <t>space-opera; adventure; comedy-drama</t>
  </si>
  <si>
    <t>adventurous; witty; optimistic; thoughtful</t>
  </si>
  <si>
    <t>https://www.imdb.com/title/tt5691552/</t>
  </si>
  <si>
    <t>https://www.themoviedb.org/search?query=The%20Orville%202017</t>
  </si>
  <si>
    <t>Space exploration and ethical dilemmas is the central narrative concern supported by the reviewed synopsis and classification sources.</t>
  </si>
  <si>
    <t>show:84661</t>
  </si>
  <si>
    <t>The Outsider</t>
  </si>
  <si>
    <t>tt8550800</t>
  </si>
  <si>
    <t>84661</t>
  </si>
  <si>
    <t>supernatural-evil-and-investigation</t>
  </si>
  <si>
    <t>supernatural-mystery; police-procedural; psychological-horror</t>
  </si>
  <si>
    <t>ominous; atmospheric; suspenseful; slow-burn</t>
  </si>
  <si>
    <t>https://www.imdb.com/title/tt8550800/</t>
  </si>
  <si>
    <t>https://www.themoviedb.org/search?query=The%20Outsider%202020</t>
  </si>
  <si>
    <t>Supernatural evil and investigation is the central narrative concern supported by the reviewed synopsis and classification sources.</t>
  </si>
  <si>
    <t>show:253941</t>
  </si>
  <si>
    <t>The Paper</t>
  </si>
  <si>
    <t>tt32159809</t>
  </si>
  <si>
    <t>253941</t>
  </si>
  <si>
    <t>local-journalism-and-workplace-reinvention</t>
  </si>
  <si>
    <t>workplace-comedy; mockumentary; media-comedy</t>
  </si>
  <si>
    <t>awkward; witty; lighthearted; character-driven</t>
  </si>
  <si>
    <t>https://www.imdb.com/title/tt32159809/</t>
  </si>
  <si>
    <t>https://www.themoviedb.org/search?query=The%20Paper%202025</t>
  </si>
  <si>
    <t>Local journalism and workplace reinvention is the central narrative concern supported by the reviewed synopsis and classification sources.</t>
  </si>
  <si>
    <t>show:135868</t>
  </si>
  <si>
    <t>The Patient</t>
  </si>
  <si>
    <t>tt15574312</t>
  </si>
  <si>
    <t>135868</t>
  </si>
  <si>
    <t>captivity-and-therapy</t>
  </si>
  <si>
    <t>psychological-thriller; chamber-drama; serial-killer-drama</t>
  </si>
  <si>
    <t>claustrophobic; tense; cerebral; unsettling</t>
  </si>
  <si>
    <t>https://www.imdb.com/title/tt15574312/</t>
  </si>
  <si>
    <t>https://www.themoviedb.org/search?query=The%20Patient%202022</t>
  </si>
  <si>
    <t>Captivity and therapy is the central narrative concern supported by the reviewed synopsis and classification sources.</t>
  </si>
  <si>
    <t>show:194764</t>
  </si>
  <si>
    <t>The Penguin</t>
  </si>
  <si>
    <t>tt15435876</t>
  </si>
  <si>
    <t>194764</t>
  </si>
  <si>
    <t>criminal-rise-to-power</t>
  </si>
  <si>
    <t>gangster; comic-book-crime; character-drama</t>
  </si>
  <si>
    <t>dark; gritty; violent; character-driven</t>
  </si>
  <si>
    <t>https://www.imdb.com/title/tt15435876/</t>
  </si>
  <si>
    <t>https://www.themoviedb.org/search?query=The%20Penguin%202024</t>
  </si>
  <si>
    <t>Criminal rise to power is the central narrative concern supported by the reviewed synopsis and classification sources.</t>
  </si>
  <si>
    <t>show:250307</t>
  </si>
  <si>
    <t>The Pitt</t>
  </si>
  <si>
    <t>tt31938062</t>
  </si>
  <si>
    <t>250307</t>
  </si>
  <si>
    <t>emergency-medicine-and-resilience</t>
  </si>
  <si>
    <t>medical-drama; workplace-drama; real-time-drama</t>
  </si>
  <si>
    <t>intense; immersive; emotional; realistic</t>
  </si>
  <si>
    <t>https://www.imdb.com/title/tt31938062/</t>
  </si>
  <si>
    <t>https://www.themoviedb.org/search?query=The%20Pitt%202025</t>
  </si>
  <si>
    <t>Emergency medicine and resilience is the central narrative concern supported by the reviewed synopsis and classification sources.</t>
  </si>
  <si>
    <t>movie:446354</t>
  </si>
  <si>
    <t>The Post</t>
  </si>
  <si>
    <t>tt6294822</t>
  </si>
  <si>
    <t>446354</t>
  </si>
  <si>
    <t>press-freedom-and-government-secrecy</t>
  </si>
  <si>
    <t>historical-drama; journalism-drama; political-drama</t>
  </si>
  <si>
    <t>tense; principled; cerebral; inspirational</t>
  </si>
  <si>
    <t>https://www.imdb.com/title/tt6294822/</t>
  </si>
  <si>
    <t>https://www.themoviedb.org/search?query=The%20Post%202017</t>
  </si>
  <si>
    <t>Press freedom and government secrecy is the central narrative concern supported by the reviewed synopsis and classification sources.</t>
  </si>
  <si>
    <t>show:87739</t>
  </si>
  <si>
    <t>The Queen's Gambit</t>
  </si>
  <si>
    <t>tt10048342</t>
  </si>
  <si>
    <t>87739</t>
  </si>
  <si>
    <t>chess-ambition-and-addiction</t>
  </si>
  <si>
    <t>coming-of-age; sports-drama; period-drama</t>
  </si>
  <si>
    <t>cerebral; stylish; character-driven; inspirational</t>
  </si>
  <si>
    <t>https://www.imdb.com/title/tt10048342/</t>
  </si>
  <si>
    <t>https://www.themoviedb.org/search?query=The%20Queen%27s%20Gambit%202020</t>
  </si>
  <si>
    <t>Chess ambition and addiction is the central narrative concern supported by the reviewed synopsis and classification sources.</t>
  </si>
  <si>
    <t>show:206829</t>
  </si>
  <si>
    <t>The Regime</t>
  </si>
  <si>
    <t>tt21375036</t>
  </si>
  <si>
    <t>206829</t>
  </si>
  <si>
    <t>authoritarian-dysfunction</t>
  </si>
  <si>
    <t>political-satire; black-comedy; palace-drama</t>
  </si>
  <si>
    <t>absurd; satirical; dark; unsettling</t>
  </si>
  <si>
    <t>https://www.imdb.com/title/tt21375036/</t>
  </si>
  <si>
    <t>https://www.themoviedb.org/search?query=The%20Regime%202024</t>
  </si>
  <si>
    <t>Authoritarian dysfunction is the central narrative concern supported by the reviewed synopsis and classification sources.</t>
  </si>
  <si>
    <t>show:204284</t>
  </si>
  <si>
    <t>The Rehearsal</t>
  </si>
  <si>
    <t>tt10802170</t>
  </si>
  <si>
    <t>204284</t>
  </si>
  <si>
    <t>control-and-human-uncertainty</t>
  </si>
  <si>
    <t>reality-comedy; docu-comedy; social-experiment</t>
  </si>
  <si>
    <t>awkward; cerebral; surreal; deadpan</t>
  </si>
  <si>
    <t>https://www.imdb.com/title/tt10802170/</t>
  </si>
  <si>
    <t>https://www.themoviedb.org/search?query=The%20Rehearsal%202022</t>
  </si>
  <si>
    <t>Control and human uncertainty is the central narrative concern supported by the reviewed synopsis and classification sources.</t>
  </si>
  <si>
    <t>show:194728</t>
  </si>
  <si>
    <t>The Resort</t>
  </si>
  <si>
    <t>tt11897688</t>
  </si>
  <si>
    <t>194728</t>
  </si>
  <si>
    <t>relationship-stagnation-and-mystery</t>
  </si>
  <si>
    <t>comedy-mystery; romantic-drama; resort-mystery</t>
  </si>
  <si>
    <t>quirky; suspenseful; warm; twisty</t>
  </si>
  <si>
    <t>https://www.imdb.com/title/tt11897688/</t>
  </si>
  <si>
    <t>https://www.themoviedb.org/search?query=The%20Resort%202022</t>
  </si>
  <si>
    <t>Relationship stagnation and mystery is the central narrative concern supported by the reviewed synopsis and classification sources.</t>
  </si>
  <si>
    <t>movie:281957</t>
  </si>
  <si>
    <t>The Revenant</t>
  </si>
  <si>
    <t>tt1663202</t>
  </si>
  <si>
    <t>281957</t>
  </si>
  <si>
    <t>survival-and-revenge</t>
  </si>
  <si>
    <t>adventure</t>
  </si>
  <si>
    <t>survival-drama; revenge-western; historical-drama</t>
  </si>
  <si>
    <t>brutal; immersive; bleak; intense</t>
  </si>
  <si>
    <t>https://www.imdb.com/title/tt1663202/</t>
  </si>
  <si>
    <t>https://www.themoviedb.org/search?query=The%20Revenant%202015</t>
  </si>
  <si>
    <t>Survival and revenge is the central narrative concern supported by the reviewed synopsis and classification sources.</t>
  </si>
  <si>
    <t>show:82782</t>
  </si>
  <si>
    <t>The Righteous Gemstones</t>
  </si>
  <si>
    <t>tt8634332</t>
  </si>
  <si>
    <t>82782</t>
  </si>
  <si>
    <t>religious-hypocrisy-and-family</t>
  </si>
  <si>
    <t>dark-comedy; family-comedy; crime-comedy</t>
  </si>
  <si>
    <t>irreverent; satirical; raunchy; character-driven</t>
  </si>
  <si>
    <t>https://www.imdb.com/title/tt8634332/</t>
  </si>
  <si>
    <t>https://www.themoviedb.org/search?query=The%20Righteous%20Gemstones%202019</t>
  </si>
  <si>
    <t>Religious hypocrisy and family is the central narrative concern supported by the reviewed synopsis and classification sources.</t>
  </si>
  <si>
    <t>movie:1306368</t>
  </si>
  <si>
    <t>The Rip</t>
  </si>
  <si>
    <t>tt32642706</t>
  </si>
  <si>
    <t>1306368</t>
  </si>
  <si>
    <t>police-corruption-and-stolen-money</t>
  </si>
  <si>
    <t>police-thriller; action-crime; conspiracy-thriller</t>
  </si>
  <si>
    <t>tense; gritty; suspenseful; fast-paced</t>
  </si>
  <si>
    <t>https://www.imdb.com/title/tt32642706/</t>
  </si>
  <si>
    <t>https://www.themoviedb.org/search?query=The%20Rip%202026</t>
  </si>
  <si>
    <t>Police corruption and stolen money is the central narrative concern supported by the reviewed synopsis and classification sources.</t>
  </si>
  <si>
    <t>show:79744</t>
  </si>
  <si>
    <t>The Rookie</t>
  </si>
  <si>
    <t>tt7587890</t>
  </si>
  <si>
    <t>79744</t>
  </si>
  <si>
    <t>career-reinvention-in-policing</t>
  </si>
  <si>
    <t>police-procedural; workplace-drama; comedy-drama</t>
  </si>
  <si>
    <t>upbeat; suspenseful; character-driven; warm</t>
  </si>
  <si>
    <t>https://www.imdb.com/title/tt7587890/</t>
  </si>
  <si>
    <t>https://www.themoviedb.org/search?query=The%20Rookie%202018</t>
  </si>
  <si>
    <t>Career reinvention in policing is the central narrative concern supported by the reviewed synopsis and classification sources.</t>
  </si>
  <si>
    <t>movie:261041</t>
  </si>
  <si>
    <t>The Search for General Tso</t>
  </si>
  <si>
    <t>tt3576038</t>
  </si>
  <si>
    <t>261041</t>
  </si>
  <si>
    <t>food-and-cultural-identity</t>
  </si>
  <si>
    <t>food-documentary; cultural-history; investigative-documentary</t>
  </si>
  <si>
    <t>curious; witty; informative; engaging</t>
  </si>
  <si>
    <t>https://www.imdb.com/title/tt3576038/</t>
  </si>
  <si>
    <t>https://www.themoviedb.org/search?query=The%20Search%20for%20General%20Tso%202014</t>
  </si>
  <si>
    <t>Food and cultural identity is the central narrative concern supported by the reviewed synopsis and classification sources.</t>
  </si>
  <si>
    <t>show:134373</t>
  </si>
  <si>
    <t>The Sex Lives of College Girls</t>
  </si>
  <si>
    <t>tt11212276</t>
  </si>
  <si>
    <t>134373</t>
  </si>
  <si>
    <t>college-identity-and-friendship</t>
  </si>
  <si>
    <t>college-comedy; coming-of-age; ensemble-comedy</t>
  </si>
  <si>
    <t>witty; energetic; candid; heartfelt</t>
  </si>
  <si>
    <t>https://www.imdb.com/title/tt11212276/</t>
  </si>
  <si>
    <t>https://www.themoviedb.org/search?query=The%20Sex%20Lives%20of%20College%20Girls%202021</t>
  </si>
  <si>
    <t>College identity and friendship is the central narrative concern supported by the reviewed synopsis and classification sources.</t>
  </si>
  <si>
    <t>show:1414</t>
  </si>
  <si>
    <t>The Shield</t>
  </si>
  <si>
    <t>2002</t>
  </si>
  <si>
    <t>tt0286486</t>
  </si>
  <si>
    <t>1414</t>
  </si>
  <si>
    <t>police-corruption-and-moral-compromise</t>
  </si>
  <si>
    <t>police-drama; antihero-drama; serialized-crime</t>
  </si>
  <si>
    <t>gritty; intense; dark; suspenseful</t>
  </si>
  <si>
    <t>https://www.imdb.com/title/tt0286486/</t>
  </si>
  <si>
    <t>https://www.themoviedb.org/search?query=The%20Shield%202002</t>
  </si>
  <si>
    <t>Police corruption and moral compromise is the central narrative concern supported by the reviewed synopsis and classification sources.</t>
  </si>
  <si>
    <t>show:39852</t>
  </si>
  <si>
    <t>The Sinner</t>
  </si>
  <si>
    <t>tt6048596</t>
  </si>
  <si>
    <t>39852</t>
  </si>
  <si>
    <t>hidden-trauma-and-crime</t>
  </si>
  <si>
    <t>anthology; psychological-mystery; police-procedural</t>
  </si>
  <si>
    <t>dark; twisty; atmospheric; character-driven</t>
  </si>
  <si>
    <t>https://www.imdb.com/title/tt6048596/</t>
  </si>
  <si>
    <t>https://www.themoviedb.org/search?query=The%20Sinner%202017</t>
  </si>
  <si>
    <t>Hidden trauma and crime is the central narrative concern supported by the reviewed synopsis and classification sources.</t>
  </si>
  <si>
    <t>show:1398</t>
  </si>
  <si>
    <t>The Sopranos</t>
  </si>
  <si>
    <t>1999</t>
  </si>
  <si>
    <t>tt0141842</t>
  </si>
  <si>
    <t>1398</t>
  </si>
  <si>
    <t>crime-family-and-psychological-conflict</t>
  </si>
  <si>
    <t>gangster; family-drama; psychological-drama</t>
  </si>
  <si>
    <t>dark; complex; character-driven; sardonic</t>
  </si>
  <si>
    <t>https://www.imdb.com/title/tt0141842/</t>
  </si>
  <si>
    <t>https://www.themoviedb.org/search?query=The%20Sopranos%201999</t>
  </si>
  <si>
    <t>Crime family and psychological conflict is the central narrative concern supported by the reviewed synopsis and classification sources.</t>
  </si>
  <si>
    <t>show:122196</t>
  </si>
  <si>
    <t>The Staircase</t>
  </si>
  <si>
    <t>tt11324406</t>
  </si>
  <si>
    <t>122196</t>
  </si>
  <si>
    <t>truth-and-legal-ambiguity</t>
  </si>
  <si>
    <t>true-crime; legal-drama; family-drama</t>
  </si>
  <si>
    <t>ambiguous; tense; meticulous; character-driven</t>
  </si>
  <si>
    <t>https://www.imdb.com/title/tt11324406/</t>
  </si>
  <si>
    <t>https://www.themoviedb.org/search?query=The%20Staircase%202022</t>
  </si>
  <si>
    <t>Truth and legal ambiguity is the central narrative concern supported by the reviewed synopsis and classification sources.</t>
  </si>
  <si>
    <t>show:247767</t>
  </si>
  <si>
    <t>The Studio</t>
  </si>
  <si>
    <t>tt23649128</t>
  </si>
  <si>
    <t>247767</t>
  </si>
  <si>
    <t>creative-integrity-versus-commerce</t>
  </si>
  <si>
    <t>show-business-comedy; workplace-comedy; satire</t>
  </si>
  <si>
    <t>witty; chaotic; satirical; fast-paced</t>
  </si>
  <si>
    <t>https://www.imdb.com/title/tt23649128/</t>
  </si>
  <si>
    <t>https://www.themoviedb.org/search?query=The%20Studio%202025</t>
  </si>
  <si>
    <t>Creative integrity versus commerce is the central narrative concern supported by the reviewed synopsis and classification sources.</t>
  </si>
  <si>
    <t>movie:933260</t>
  </si>
  <si>
    <t>The Substance</t>
  </si>
  <si>
    <t>tt17526714</t>
  </si>
  <si>
    <t>933260</t>
  </si>
  <si>
    <t>ageism-and-self-rejection</t>
  </si>
  <si>
    <t>body-horror; social-satire; show-business-horror</t>
  </si>
  <si>
    <t>visceral; provocative; grotesque; satirical</t>
  </si>
  <si>
    <t>https://www.imdb.com/title/tt17526714/</t>
  </si>
  <si>
    <t>https://www.themoviedb.org/search?query=The%20Substance%202024</t>
  </si>
  <si>
    <t>Ageism and self rejection is the central narrative concern supported by the reviewed synopsis and classification sources.</t>
  </si>
  <si>
    <t>show:129398</t>
  </si>
  <si>
    <t>The Sympathizer</t>
  </si>
  <si>
    <t>tt14404618</t>
  </si>
  <si>
    <t>129398</t>
  </si>
  <si>
    <t>divided-identity-and-colonial-power</t>
  </si>
  <si>
    <t>spy-drama; historical-drama; dark-comedy</t>
  </si>
  <si>
    <t>cerebral; satirical; stylish; conflicted</t>
  </si>
  <si>
    <t>https://www.imdb.com/title/tt14404618/</t>
  </si>
  <si>
    <t>https://www.themoviedb.org/search?query=The%20Sympathizer%202024</t>
  </si>
  <si>
    <t>Divided identity and colonial power is the central narrative concern supported by the reviewed synopsis and classification sources.</t>
  </si>
  <si>
    <t>show:120911</t>
  </si>
  <si>
    <t>The Terminal List</t>
  </si>
  <si>
    <t>tt11743610</t>
  </si>
  <si>
    <t>120911</t>
  </si>
  <si>
    <t>revenge-and-military-conspiracy</t>
  </si>
  <si>
    <t>conspiracy-thriller; military-drama; revenge-action</t>
  </si>
  <si>
    <t>dark; intense; suspenseful; gritty</t>
  </si>
  <si>
    <t>https://www.imdb.com/title/tt11743610/</t>
  </si>
  <si>
    <t>https://www.themoviedb.org/search?query=The%20Terminal%20List%202022</t>
  </si>
  <si>
    <t>Revenge and military conspiracy is the central narrative concern supported by the reviewed synopsis and classification sources.</t>
  </si>
  <si>
    <t>show:219760</t>
  </si>
  <si>
    <t>The Terminal List: Dark Wolf</t>
  </si>
  <si>
    <t>tt26576161</t>
  </si>
  <si>
    <t>219760</t>
  </si>
  <si>
    <t>warfare-morality-and-spy-identity</t>
  </si>
  <si>
    <t>spy-thriller; military-drama; conspiracy-thriller</t>
  </si>
  <si>
    <t>intense; gritty; suspenseful; morally-complex</t>
  </si>
  <si>
    <t>https://www.imdb.com/title/tt26576161/</t>
  </si>
  <si>
    <t>https://www.themoviedb.org/search?query=The%20Terminal%20List%3A%20Dark%20Wolf%202025</t>
  </si>
  <si>
    <t>Warfare morality and spy identity is the central narrative concern supported by the reviewed synopsis and classification sources.</t>
  </si>
  <si>
    <t>show:75191</t>
  </si>
  <si>
    <t>The Terror</t>
  </si>
  <si>
    <t>tt2708480</t>
  </si>
  <si>
    <t>75191</t>
  </si>
  <si>
    <t>survival-and-supernatural-dread</t>
  </si>
  <si>
    <t>historical-horror; survival-drama; supernatural-horror</t>
  </si>
  <si>
    <t>bleak; atmospheric; claustrophobic; ominous</t>
  </si>
  <si>
    <t>https://www.imdb.com/title/tt2708480/</t>
  </si>
  <si>
    <t>https://www.themoviedb.org/search?query=The%20Terror%202018</t>
  </si>
  <si>
    <t>Survival and supernatural dread is the central narrative concern supported by the reviewed synopsis and classification sources.</t>
  </si>
  <si>
    <t>show:90259</t>
  </si>
  <si>
    <t>The Third Day</t>
  </si>
  <si>
    <t>tt10482370</t>
  </si>
  <si>
    <t>90259</t>
  </si>
  <si>
    <t>grief-and-island-cult</t>
  </si>
  <si>
    <t>folk-horror; psychological-drama; island-mystery</t>
  </si>
  <si>
    <t>surreal; atmospheric; unsettling; slow-burn</t>
  </si>
  <si>
    <t>https://www.imdb.com/title/tt10482370/</t>
  </si>
  <si>
    <t>https://www.themoviedb.org/search?query=The%20Third%20Day%202020</t>
  </si>
  <si>
    <t>Grief and island cult is the central narrative concern supported by the reviewed synopsis and classification sources.</t>
  </si>
  <si>
    <t>movie:556984</t>
  </si>
  <si>
    <t>The Trial of the Chicago 7</t>
  </si>
  <si>
    <t>tt1070874</t>
  </si>
  <si>
    <t>556984</t>
  </si>
  <si>
    <t>political-protest-and-judicial-injustice</t>
  </si>
  <si>
    <t>legal-drama; historical-drama; political-drama</t>
  </si>
  <si>
    <t>energetic; tense; witty; principled</t>
  </si>
  <si>
    <t>https://www.imdb.com/title/tt1070874/</t>
  </si>
  <si>
    <t>https://www.themoviedb.org/search?query=The%20Trial%20of%20the%20Chicago%207%202020</t>
  </si>
  <si>
    <t>Political protest and judicial injustice is the central narrative concern supported by the reviewed synopsis and classification sources.</t>
  </si>
  <si>
    <t>show:83851</t>
  </si>
  <si>
    <t>The Undoing</t>
  </si>
  <si>
    <t>tt8134470</t>
  </si>
  <si>
    <t>83851</t>
  </si>
  <si>
    <t>marital-deception-and-murder</t>
  </si>
  <si>
    <t>psychological-thriller; murder-mystery; domestic-drama</t>
  </si>
  <si>
    <t>polished; tense; suspenseful; twisty</t>
  </si>
  <si>
    <t>https://www.imdb.com/title/tt8134470/</t>
  </si>
  <si>
    <t>https://www.themoviedb.org/search?query=The%20Undoing%202020</t>
  </si>
  <si>
    <t>Marital deception and murder is the central narrative concern supported by the reviewed synopsis and classification sources.</t>
  </si>
  <si>
    <t>show:254544</t>
  </si>
  <si>
    <t>The Waterfront</t>
  </si>
  <si>
    <t>tt31216548</t>
  </si>
  <si>
    <t>254544</t>
  </si>
  <si>
    <t>family-crime-and-business-survival</t>
  </si>
  <si>
    <t>family-drama; coastal-noir; crime-thriller</t>
  </si>
  <si>
    <t>tense; gritty; character-driven; suspenseful</t>
  </si>
  <si>
    <t>https://www.imdb.com/title/tt31216548/</t>
  </si>
  <si>
    <t>https://www.themoviedb.org/search?query=The%20Waterfront%202025</t>
  </si>
  <si>
    <t>Family crime and business survival is the central narrative concern supported by the reviewed synopsis and classification sources.</t>
  </si>
  <si>
    <t>show:688</t>
  </si>
  <si>
    <t>The West Wing</t>
  </si>
  <si>
    <t>tt0200276</t>
  </si>
  <si>
    <t>688</t>
  </si>
  <si>
    <t>public-service-and-political-governance</t>
  </si>
  <si>
    <t>idealistic; witty; cerebral; fast-paced</t>
  </si>
  <si>
    <t>https://www.imdb.com/title/tt0200276/</t>
  </si>
  <si>
    <t>https://www.themoviedb.org/search?query=The%20West%20Wing%201999</t>
  </si>
  <si>
    <t>Public service and political governance is the central narrative concern supported by the reviewed synopsis and classification sources.</t>
  </si>
  <si>
    <t>show:111803</t>
  </si>
  <si>
    <t>The White Lotus</t>
  </si>
  <si>
    <t>tt13406094</t>
  </si>
  <si>
    <t>111803</t>
  </si>
  <si>
    <t>privilege-and-social-dysfunction</t>
  </si>
  <si>
    <t>social-satire; anthology; resort-drama</t>
  </si>
  <si>
    <t>satirical; darkly-comic; atmospheric; unsettling</t>
  </si>
  <si>
    <t>https://www.imdb.com/title/tt13406094/</t>
  </si>
  <si>
    <t>https://www.themoviedb.org/search?query=The%20White%20Lotus%202021</t>
  </si>
  <si>
    <t>Privilege and social dysfunction is the central narrative concern supported by the reviewed synopsis and classification sources.</t>
  </si>
  <si>
    <t>show:113367</t>
  </si>
  <si>
    <t>The Wilds</t>
  </si>
  <si>
    <t>tt8633062</t>
  </si>
  <si>
    <t>113367</t>
  </si>
  <si>
    <t>adolescent-survival-and-experimentation</t>
  </si>
  <si>
    <t>survival-drama; teen-drama; conspiracy-mystery</t>
  </si>
  <si>
    <t>intense; emotional; suspenseful; character-driven</t>
  </si>
  <si>
    <t>https://www.imdb.com/title/tt8633062/</t>
  </si>
  <si>
    <t>https://www.themoviedb.org/search?query=The%20Wilds%202020</t>
  </si>
  <si>
    <t>Adolescent survival and experimentation is the central narrative concern supported by the reviewed synopsis and classification sources.</t>
  </si>
  <si>
    <t>show:1438</t>
  </si>
  <si>
    <t>The Wire</t>
  </si>
  <si>
    <t>tt0306414</t>
  </si>
  <si>
    <t>1438</t>
  </si>
  <si>
    <t>institutions-and-urban-inequality</t>
  </si>
  <si>
    <t>police-procedural; social-realism; ensemble-drama</t>
  </si>
  <si>
    <t>gritty; complex; realistic; slow-burn</t>
  </si>
  <si>
    <t>https://www.imdb.com/title/tt0306414/</t>
  </si>
  <si>
    <t>https://www.themoviedb.org/search?query=The%20Wire%202002</t>
  </si>
  <si>
    <t>Institutions and urban inequality is the central narrative concern supported by the reviewed synopsis and classification sources.</t>
  </si>
  <si>
    <t>movie:1290879</t>
  </si>
  <si>
    <t>The Woman in Cabin 10</t>
  </si>
  <si>
    <t>tt7130300</t>
  </si>
  <si>
    <t>1290879</t>
  </si>
  <si>
    <t>credibility-and-murder-at-sea</t>
  </si>
  <si>
    <t>psychological-thriller; locked-room-mystery; maritime-thriller</t>
  </si>
  <si>
    <t>claustrophobic; suspenseful; twisty; tense</t>
  </si>
  <si>
    <t>https://www.imdb.com/title/tt7130300/</t>
  </si>
  <si>
    <t>https://www.themoviedb.org/search?query=The%20Woman%20in%20Cabin%2010%202025</t>
  </si>
  <si>
    <t>Credibility and murder at sea is the central narrative concern supported by the reviewed synopsis and classification sources.</t>
  </si>
  <si>
    <t>show:209922</t>
  </si>
  <si>
    <t>The Woman in the Wall</t>
  </si>
  <si>
    <t>tt21822590</t>
  </si>
  <si>
    <t>209922</t>
  </si>
  <si>
    <t>institutional-abuse-and-trauma</t>
  </si>
  <si>
    <t>gothic-mystery; psychological-drama; crime-drama</t>
  </si>
  <si>
    <t>dark; atmospheric; unsettling; emotional</t>
  </si>
  <si>
    <t>https://www.imdb.com/title/tt21822590/</t>
  </si>
  <si>
    <t>https://www.themoviedb.org/search?query=The%20Woman%20in%20the%20Wall%202023</t>
  </si>
  <si>
    <t>Institutional abuse and trauma is the central narrative concern supported by the reviewed synopsis and classification sources.</t>
  </si>
  <si>
    <t>movie:520663</t>
  </si>
  <si>
    <t>The Woman in the Window</t>
  </si>
  <si>
    <t>tt6111574</t>
  </si>
  <si>
    <t>520663</t>
  </si>
  <si>
    <t>isolation-and-unreliable-witness</t>
  </si>
  <si>
    <t>psychological-thriller; domestic-mystery; neo-noir</t>
  </si>
  <si>
    <t>claustrophobic; twisty; tense; unreliable</t>
  </si>
  <si>
    <t>https://www.imdb.com/title/tt6111574/</t>
  </si>
  <si>
    <t>https://www.themoviedb.org/search?query=The%20Woman%20in%20the%20Window%202021</t>
  </si>
  <si>
    <t>Isolation and unreliable witness is the central narrative concern supported by the reviewed synopsis and classification sources.</t>
  </si>
  <si>
    <t>show:62699</t>
  </si>
  <si>
    <t>The Young Pope</t>
  </si>
  <si>
    <t>tt3655448</t>
  </si>
  <si>
    <t>62699</t>
  </si>
  <si>
    <t>faith-power-and-identity</t>
  </si>
  <si>
    <t>religious-drama; political-drama; character-study</t>
  </si>
  <si>
    <t>stylish; cerebral; provocative; surreal</t>
  </si>
  <si>
    <t>https://www.imdb.com/title/tt3655448/</t>
  </si>
  <si>
    <t>https://www.themoviedb.org/search?query=The%20Young%20Pope%202016</t>
  </si>
  <si>
    <t>Faith power and identity is the central narrative concern supported by the reviewed synopsis and classification sources.</t>
  </si>
  <si>
    <t>show:255570</t>
  </si>
  <si>
    <t>This City Is Ours</t>
  </si>
  <si>
    <t>tt31438328</t>
  </si>
  <si>
    <t>255570</t>
  </si>
  <si>
    <t>crime-loyalty-and-succession</t>
  </si>
  <si>
    <t>gritty; tense; character-driven; violent</t>
  </si>
  <si>
    <t>https://www.imdb.com/title/tt31438328/</t>
  </si>
  <si>
    <t>https://www.themoviedb.org/search?query=This%20City%20Is%20Ours%202025</t>
  </si>
  <si>
    <t>Crime loyalty and succession is the central narrative concern supported by the reviewed synopsis and classification sources.</t>
  </si>
  <si>
    <t>movie:89492</t>
  </si>
  <si>
    <t>This Is 40</t>
  </si>
  <si>
    <t>tt1758830</t>
  </si>
  <si>
    <t>89492</t>
  </si>
  <si>
    <t>family-dynamics</t>
  </si>
  <si>
    <t>family-drama; romance</t>
  </si>
  <si>
    <t>witty; character-driven; melancholy</t>
  </si>
  <si>
    <t>https://www.imdb.com/title/tt1758830/</t>
  </si>
  <si>
    <t>https://www.themoviedb.org/search?query=This%20Is%2040%202012</t>
  </si>
  <si>
    <t>Pete and Debbie are both about to turn 40, their kids hate each other, both of their businesses are failing, they're on the verge of losing their house, and their relationship is threatening to fall apart.</t>
  </si>
  <si>
    <t>show:154359</t>
  </si>
  <si>
    <t>This Is Going to Hurt</t>
  </si>
  <si>
    <t>tt8681148</t>
  </si>
  <si>
    <t>154359</t>
  </si>
  <si>
    <t>healthcare-medicine</t>
  </si>
  <si>
    <t>medical</t>
  </si>
  <si>
    <t>character-driven; witty; dark; thoughtful</t>
  </si>
  <si>
    <t>https://www.imdb.com/title/tt8681148/</t>
  </si>
  <si>
    <t>https://www.themoviedb.org/search?query=This%20Is%20Going%20to%20Hurt%202022</t>
  </si>
  <si>
    <t>The unvarnished truth of life as a doctor working in obstetrics and gynaecology.</t>
  </si>
  <si>
    <t>movie:359940</t>
  </si>
  <si>
    <t>Three Billboards Outside Ebbing, Missouri</t>
  </si>
  <si>
    <t>tt5027774</t>
  </si>
  <si>
    <t>359940</t>
  </si>
  <si>
    <t>law-enforcement</t>
  </si>
  <si>
    <t>procedural</t>
  </si>
  <si>
    <t>gritty; dark; satirical</t>
  </si>
  <si>
    <t>https://www.imdb.com/title/tt5027774/</t>
  </si>
  <si>
    <t>https://www.themoviedb.org/search?query=Three%20Billboards%20Outside%20Ebbing%2C%20Missouri%202017</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</si>
  <si>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</si>
  <si>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show:247522</t>
  </si>
  <si>
    <t>Tires</t>
  </si>
  <si>
    <t>tt31491435</t>
  </si>
  <si>
    <t>247522</t>
  </si>
  <si>
    <t>workplace-comedy</t>
  </si>
  <si>
    <t>hilarious; inspirational</t>
  </si>
  <si>
    <t>https://www.imdb.com/title/tt31491435/</t>
  </si>
  <si>
    <t>https://www.themoviedb.org/search?query=Tires%202024</t>
  </si>
  <si>
    <t>At his father's auto shop, a hapless manager strives to improve customer service and drive profits while keeping his troublemaking cousin in line.</t>
  </si>
  <si>
    <t>Batch 11</t>
  </si>
  <si>
    <t>show:90296</t>
  </si>
  <si>
    <t>Tokyo Vice</t>
  </si>
  <si>
    <t>tt2887954</t>
  </si>
  <si>
    <t>90296</t>
  </si>
  <si>
    <t>journalism-media</t>
  </si>
  <si>
    <t>crime-drama; procedural</t>
  </si>
  <si>
    <t>gritty; dark; slow-burn</t>
  </si>
  <si>
    <t>https://www.imdb.com/title/tt2887954/</t>
  </si>
  <si>
    <t>https://www.themoviedb.org/search?query=Tokyo%20Vice%202022</t>
  </si>
  <si>
    <t>A first-hand account of the Tokyo Metropolitan Police beat following Jake Adelstein, an American journalist who embeds himself into the Tokyo Vice police squad to reveal corruption. Based on Jake Adelstein’s non-fiction book of the same name.</t>
  </si>
  <si>
    <t>movie:361743</t>
  </si>
  <si>
    <t>Top Gun: Maverick</t>
  </si>
  <si>
    <t>tt1745960</t>
  </si>
  <si>
    <t>361743</t>
  </si>
  <si>
    <t>war-conflict</t>
  </si>
  <si>
    <t>inspirational; intense; character-driven; nostalgic</t>
  </si>
  <si>
    <t>https://www.imdb.com/title/tt1745960/</t>
  </si>
  <si>
    <t>https://www.themoviedb.org/search?query=Top%20Gun%3A%20Maverick%202022</t>
  </si>
  <si>
    <t>After more than thirty years of service as one of the Navy’s top aviators, and dodging the advancement in rank that would ground him, Pete “Maverick” Mitchell finds himself training a detachment of TOP GUN graduates for a specialized mission the likes of which no living pilot has ever seen.</t>
  </si>
  <si>
    <t>show:46638</t>
  </si>
  <si>
    <t>Top of the Lake</t>
  </si>
  <si>
    <t>tt2103085</t>
  </si>
  <si>
    <t>46638</t>
  </si>
  <si>
    <t>dark; gritty; intense; character-driven</t>
  </si>
  <si>
    <t>https://www.imdb.com/title/tt2103085/</t>
  </si>
  <si>
    <t>https://www.themoviedb.org/search?query=Top%20of%20the%20Lake%202013</t>
  </si>
  <si>
    <t>A woman haunted by her past, Detective Robin Griffin, investigates complex and unsettling cases.</t>
  </si>
  <si>
    <t>show:10545</t>
  </si>
  <si>
    <t>True Blood</t>
  </si>
  <si>
    <t>tt0844441</t>
  </si>
  <si>
    <t>10545</t>
  </si>
  <si>
    <t>justice-legal-system</t>
  </si>
  <si>
    <t>romance; dark-comedy; sci-fi-fantasy</t>
  </si>
  <si>
    <t>inspirational; character-driven; dramatic</t>
  </si>
  <si>
    <t>https://www.imdb.com/title/tt0844441/</t>
  </si>
  <si>
    <t>https://www.themoviedb.org/search?query=True%20Blood%202008</t>
  </si>
  <si>
    <t>Thanks to a Japanese scientist's invention of synthetic blood, vampires have progressed overnight from legendary monsters to fellow citizens. And while humans have been safely removed from the menu, many remain apprehensive about these creatures "coming out of the coffin." Religious leaders, government officials, and vampire fundamentalists around the world have chosen their sides.  But in the small Louisiana town of Bon Temps, the jury is still out.</t>
  </si>
  <si>
    <t>show:46648</t>
  </si>
  <si>
    <t>True Detective</t>
  </si>
  <si>
    <t>tt2356777</t>
  </si>
  <si>
    <t>46648</t>
  </si>
  <si>
    <t>crime-investigation</t>
  </si>
  <si>
    <t>procedural; psychological-thriller</t>
  </si>
  <si>
    <t>gritty; thoughtful</t>
  </si>
  <si>
    <t>https://www.imdb.com/title/tt2356777/</t>
  </si>
  <si>
    <t>https://www.themoviedb.org/search?query=True%20Detective%202014</t>
  </si>
  <si>
    <t>An American anthology police detective series utilizing multiple timelines in which investigations seem to unearth personal and professional secrets of those involved, both within or outside the law.</t>
  </si>
  <si>
    <t>show:76177</t>
  </si>
  <si>
    <t>Trust</t>
  </si>
  <si>
    <t>tt5664952</t>
  </si>
  <si>
    <t>76177</t>
  </si>
  <si>
    <t>class-wealth</t>
  </si>
  <si>
    <t>crime-drama; psychological-thriller</t>
  </si>
  <si>
    <t>https://www.imdb.com/title/tt5664952/</t>
  </si>
  <si>
    <t>https://www.themoviedb.org/search?query=Trust%202018</t>
  </si>
  <si>
    <t>The trials and triumphs of one of the wealthiest and unhappiest families of the United States, the Gettys. Originally planned to be told over multiple seasons and spanning the twentieth century, the series begins in 1973 with the kidnapping of John Paul Getty III, an heir to the Getty oil fortune, by the Italian mafia in Rome.</t>
  </si>
  <si>
    <t>show:153312</t>
  </si>
  <si>
    <t>Tulsa King</t>
  </si>
  <si>
    <t>tt16358384</t>
  </si>
  <si>
    <t>153312</t>
  </si>
  <si>
    <t>organized-crime</t>
  </si>
  <si>
    <t>neo-western</t>
  </si>
  <si>
    <t>character-driven; offbeat; witty; slow-burn</t>
  </si>
  <si>
    <t>https://www.imdb.com/title/tt16358384/</t>
  </si>
  <si>
    <t>https://www.themoviedb.org/search?query=Tulsa%20King%202022</t>
  </si>
  <si>
    <t>New York mafia capo Dwight "The General" Manfredi is released from prison after 25 years and exiled by his boss to set up shop in Tulsa, Oklahoma. Realizing that his mob family may not have his best interests in mind, Dwight slowly builds a crew.</t>
  </si>
  <si>
    <t>movie:718821</t>
  </si>
  <si>
    <t>Twisters</t>
  </si>
  <si>
    <t>tt12584954</t>
  </si>
  <si>
    <t>718821</t>
  </si>
  <si>
    <t>technology-surveillance</t>
  </si>
  <si>
    <t>dark; character-driven; dramatic</t>
  </si>
  <si>
    <t>https://www.imdb.com/title/tt12584954/</t>
  </si>
  <si>
    <t>https://www.themoviedb.org/search?query=Twisters%202024</t>
  </si>
  <si>
    <t>As storm season intensifies, the paths of former storm chaser Kate Carter and reckless social-media superstar Tyler Owens collide when terrifying phenomena never seen before are unleashed. The pair and their competing teams find themselves squarely in the paths of multiple storm systems converging over central Oklahoma in the fight of their lives.</t>
  </si>
  <si>
    <t>movie:473033</t>
  </si>
  <si>
    <t>Uncut Gems</t>
  </si>
  <si>
    <t>tt5727208</t>
  </si>
  <si>
    <t>473033</t>
  </si>
  <si>
    <t>marriage-relationships</t>
  </si>
  <si>
    <t>dark-comedy; sports</t>
  </si>
  <si>
    <t>character-driven; character-driven; dramatic</t>
  </si>
  <si>
    <t>https://www.imdb.com/title/tt5727208/</t>
  </si>
  <si>
    <t>https://www.themoviedb.org/search?query=Uncut%20Gems%202019</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</si>
  <si>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</si>
  <si>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show:128095</t>
  </si>
  <si>
    <t>Under the Banner of Heaven</t>
  </si>
  <si>
    <t>tt1998372</t>
  </si>
  <si>
    <t>128095</t>
  </si>
  <si>
    <t>religion-faith</t>
  </si>
  <si>
    <t>https://www.imdb.com/title/tt1998372/</t>
  </si>
  <si>
    <t>https://www.themoviedb.org/search?query=Under%20the%20Banner%20of%20Heaven%202022</t>
  </si>
  <si>
    <t>A devout detective's faith is tested as he investigates a brutal murder that seems to be connected to an esteemed Utah family's spiral into LDS fundamentalism and their distrust in the government.</t>
  </si>
  <si>
    <t>show:248984</t>
  </si>
  <si>
    <t>Unlocked: A Jail Experiment</t>
  </si>
  <si>
    <t>tt31722999</t>
  </si>
  <si>
    <t>248984</t>
  </si>
  <si>
    <t>prison; political</t>
  </si>
  <si>
    <t>inspirational; character-driven; thoughtful</t>
  </si>
  <si>
    <t>https://www.imdb.com/title/tt31722999/</t>
  </si>
  <si>
    <t>https://www.themoviedb.org/search?query=Unlocked%3A%20A%20Jail%20Experiment%202024</t>
  </si>
  <si>
    <t>At an Arkansas detention facility, a sheriff implements a radical social experiment to grant men who are incarcerated more agency in this reality series.</t>
  </si>
  <si>
    <t>show:99581</t>
  </si>
  <si>
    <t>Unorthodox</t>
  </si>
  <si>
    <t>tt9815454</t>
  </si>
  <si>
    <t>99581</t>
  </si>
  <si>
    <t>coming-of-age; family-drama</t>
  </si>
  <si>
    <t>https://www.imdb.com/title/tt9815454/</t>
  </si>
  <si>
    <t>https://www.themoviedb.org/search?query=Unorthodox%202020</t>
  </si>
  <si>
    <t>A Hasidic Jewish woman in Brooklyn flees to Berlin from an arranged marriage and is taken in by a group of musicians — until her past comes calling.</t>
  </si>
  <si>
    <t>show:219788</t>
  </si>
  <si>
    <t>Unstable</t>
  </si>
  <si>
    <t>tt19394168</t>
  </si>
  <si>
    <t>219788</t>
  </si>
  <si>
    <t>offbeat; character-driven; dramatic</t>
  </si>
  <si>
    <t>https://www.imdb.com/title/tt19394168/</t>
  </si>
  <si>
    <t>https://www.themoviedb.org/search?query=Unstable%202023</t>
  </si>
  <si>
    <t>He's an eccentric biotech genius. His son's a pragmatist living in his shadow. To save the family business, they'll have to work through some issues.</t>
  </si>
  <si>
    <t>show:86248</t>
  </si>
  <si>
    <t>Upload</t>
  </si>
  <si>
    <t>tt7826376</t>
  </si>
  <si>
    <t>86248</t>
  </si>
  <si>
    <t>paranormal-supernatural</t>
  </si>
  <si>
    <t>sci-fi-fantasy; romcom; workplace-comedy</t>
  </si>
  <si>
    <t>witty; character-driven; thoughtful; offbeat</t>
  </si>
  <si>
    <t>https://www.imdb.com/title/tt7826376/</t>
  </si>
  <si>
    <t>https://www.themoviedb.org/search?query=Upload%202020</t>
  </si>
  <si>
    <t>In 2033, people who are near death can be “uploaded” into virtual reality hotels run by 6 tech firms. Cash-strapped Nora lives in Brooklyn and works customer service for the luxurious “Lakeview” digital afterlife. When L.A. party-boy/coder Nathan’s self-driving car crashes, his high-maintenance girlfriend uploads him permanently into Nora’s VR world.</t>
  </si>
  <si>
    <t>movie:458723</t>
  </si>
  <si>
    <t>Us</t>
  </si>
  <si>
    <t>tt6857112</t>
  </si>
  <si>
    <t>458723</t>
  </si>
  <si>
    <t>gritty; character-driven; dramatic</t>
  </si>
  <si>
    <t>https://www.imdb.com/title/tt6857112/</t>
  </si>
  <si>
    <t>https://www.themoviedb.org/search?query=Us%202019</t>
  </si>
  <si>
    <t>Husband and wife Gabe and Adelaide Wilson take their kids to their beach house expecting to unplug and unwind with friends. But as night descends, their serenity turns to tension and chaos when some shocking visitors arrive uninvited.</t>
  </si>
  <si>
    <t>show:78903</t>
  </si>
  <si>
    <t>Utopia</t>
  </si>
  <si>
    <t>tt8303474</t>
  </si>
  <si>
    <t>78903</t>
  </si>
  <si>
    <t>psychological-thriller; spy-espionage</t>
  </si>
  <si>
    <t>intense; suspenseful; thoughtful</t>
  </si>
  <si>
    <t>https://www.imdb.com/title/tt8303474/</t>
  </si>
  <si>
    <t>https://www.themoviedb.org/search?query=Utopia%202020</t>
  </si>
  <si>
    <t>A group of young adults who met online are mercilessly hunted by a shadowy deep state organization after they come into possession of a near-mythical cult underground graphic novel.</t>
  </si>
  <si>
    <t>show:2947</t>
  </si>
  <si>
    <t>Veep</t>
  </si>
  <si>
    <t>tt1759761</t>
  </si>
  <si>
    <t>2947</t>
  </si>
  <si>
    <t>politics-power</t>
  </si>
  <si>
    <t>political</t>
  </si>
  <si>
    <t>witty; gritty</t>
  </si>
  <si>
    <t>https://www.imdb.com/title/tt1759761/</t>
  </si>
  <si>
    <t>https://www.themoviedb.org/search?query=Veep%202012</t>
  </si>
  <si>
    <t>A look into American politics, revolving around former Senator Selina Meyer who finds being Vice President of the United States is nothing like she expected and everything everyone ever warned her about.</t>
  </si>
  <si>
    <t>show:74140</t>
  </si>
  <si>
    <t>Waco</t>
  </si>
  <si>
    <t>tt6040674</t>
  </si>
  <si>
    <t>74140</t>
  </si>
  <si>
    <t>https://www.imdb.com/title/tt6040674/</t>
  </si>
  <si>
    <t>https://www.themoviedb.org/search?query=Waco%202018</t>
  </si>
  <si>
    <t>The harrowing true story of the 1993 standoff between the FBI, ATF and the Branch Davidians, a spiritual sect led by David Koresh in Waco, TX that resulted in a deadly shootout and fire.</t>
  </si>
  <si>
    <t>movie:812583</t>
  </si>
  <si>
    <t>Wake Up Dead Man: A Knives Out Mystery</t>
  </si>
  <si>
    <t>tt14364480</t>
  </si>
  <si>
    <t>812583</t>
  </si>
  <si>
    <t>procedural; dark-comedy</t>
  </si>
  <si>
    <t>witty; twisty; suspenseful; satirical</t>
  </si>
  <si>
    <t>https://www.imdb.com/title/tt14364480/</t>
  </si>
  <si>
    <t>https://www.themoviedb.org/search?query=Wake%20Up%20Dead%20Man%3A%20A%20Knives%20Out%20Mystery%202025</t>
  </si>
  <si>
    <t>When young priest Jud Duplenticy is sent to assist charismatic firebrand Monsignor Jefferson Wicks, it’s clear that all is not well in the pews. After a sudden and seemingly impossible murder rocks the town, the lack of an obvious suspect prompts local police chief Geraldine Scott to join forces with renowned detective Benoit Blanc to unravel a mystery that defies all logic.</t>
  </si>
  <si>
    <t>show:85271</t>
  </si>
  <si>
    <t>WandaVision</t>
  </si>
  <si>
    <t>tt9140560</t>
  </si>
  <si>
    <t>85271</t>
  </si>
  <si>
    <t>grief-loss</t>
  </si>
  <si>
    <t>superhero; family-drama; sci-fi-fantasy</t>
  </si>
  <si>
    <t>twisty; melancholy; slow-burn; character-driven</t>
  </si>
  <si>
    <t>https://www.imdb.com/title/tt9140560/</t>
  </si>
  <si>
    <t>https://www.themoviedb.org/search?query=WandaVision%202021</t>
  </si>
  <si>
    <t>Wanda Maximoff and Vision—two super-powered beings living idealized suburban lives—begin to suspect that everything is not as it seems.</t>
  </si>
  <si>
    <t>movie:308266</t>
  </si>
  <si>
    <t>War Dogs</t>
  </si>
  <si>
    <t>tt2005151</t>
  </si>
  <si>
    <t>308266</t>
  </si>
  <si>
    <t>power-corruption</t>
  </si>
  <si>
    <t>crime-drama; political</t>
  </si>
  <si>
    <t>gritty; dark; satirical; character-driven</t>
  </si>
  <si>
    <t>https://www.imdb.com/title/tt2005151/</t>
  </si>
  <si>
    <t>https://www.themoviedb.org/search?query=War%20Dogs%202016</t>
  </si>
  <si>
    <t>Based on the true story of two young men, David Packouz and Efraim Diveroli, who won a $300 million contract from the Pentagon to arm America's allies in Afghanistan.</t>
  </si>
  <si>
    <t>show:73544</t>
  </si>
  <si>
    <t>Warrior</t>
  </si>
  <si>
    <t>tt5743796</t>
  </si>
  <si>
    <t>73544</t>
  </si>
  <si>
    <t>leadership-duty</t>
  </si>
  <si>
    <t>historical</t>
  </si>
  <si>
    <t>https://www.imdb.com/title/tt5743796/</t>
  </si>
  <si>
    <t>https://www.themoviedb.org/search?query=Warrior%202019</t>
  </si>
  <si>
    <t>A gritty, action-packed crime drama set during the brutal Tong Wars of San Francisco’s Chinatown in the second half of the 19th century. The series follows Ah Sahm, a martial arts prodigy who immigrates from China to San Francisco under mysterious circumstances, and becomes a hatchet man for one of Chinatown’s most powerful tongs.</t>
  </si>
  <si>
    <t>show:79788</t>
  </si>
  <si>
    <t>Watchmen</t>
  </si>
  <si>
    <t>tt7049682</t>
  </si>
  <si>
    <t>79788</t>
  </si>
  <si>
    <t>crime-consequences</t>
  </si>
  <si>
    <t>superhero</t>
  </si>
  <si>
    <t>dark; gritty; thoughtful; nostalgic</t>
  </si>
  <si>
    <t>https://www.imdb.com/title/tt7049682/</t>
  </si>
  <si>
    <t>https://www.themoviedb.org/search?query=Watchmen%202019</t>
  </si>
  <si>
    <t>Set in an alternate history where “superheroes” are treated as outlaws, “Watchmen” embraces the nostalgia of the original groundbreaking graphic novel while attempting to break new ground of its own.</t>
  </si>
  <si>
    <t>show:88713</t>
  </si>
  <si>
    <t>We Are Who We Are</t>
  </si>
  <si>
    <t>tt9848536</t>
  </si>
  <si>
    <t>88713</t>
  </si>
  <si>
    <t>coming-of-age</t>
  </si>
  <si>
    <t>coming-of-age; romance</t>
  </si>
  <si>
    <t>slow-burn; character-driven; melancholy; thoughtful</t>
  </si>
  <si>
    <t>https://www.imdb.com/title/tt9848536/</t>
  </si>
  <si>
    <t>https://www.themoviedb.org/search?query=We%20Are%20Who%20We%20Are%202020</t>
  </si>
  <si>
    <t>Two American kids who live on a U.S. military base in Italy explore friendship, first love, identity, and all the messy exhilaration and anguish of being a teenager.</t>
  </si>
  <si>
    <t>show:125949</t>
  </si>
  <si>
    <t>We Own This City</t>
  </si>
  <si>
    <t>tt14192504</t>
  </si>
  <si>
    <t>125949</t>
  </si>
  <si>
    <t>crime-drama; procedural; heist</t>
  </si>
  <si>
    <t>gritty; dark; character-driven; slow-burn</t>
  </si>
  <si>
    <t>https://www.imdb.com/title/tt14192504/</t>
  </si>
  <si>
    <t>https://www.themoviedb.org/search?query=We%20Own%20This%20City%202022</t>
  </si>
  <si>
    <t>The story of the rise and fall of the Baltimore Police Department's Gun Trace Task Force — and the corruption and moral collapse that befell an American city in which the policies of drug prohibition and mass arrest were championed at the expense of actual police work.</t>
  </si>
  <si>
    <t>movie:138832</t>
  </si>
  <si>
    <t>We're the Millers</t>
  </si>
  <si>
    <t>tt1723121</t>
  </si>
  <si>
    <t>138832</t>
  </si>
  <si>
    <t>crime-drama</t>
  </si>
  <si>
    <t>hilarious; offbeat; witty</t>
  </si>
  <si>
    <t>https://www.imdb.com/title/tt1723121/</t>
  </si>
  <si>
    <t>https://www.themoviedb.org/search?query=We%27re%20the%20Millers%202013</t>
  </si>
  <si>
    <t>A veteran pot dealer creates a fake family as part of his plan to move a huge shipment of weed into the U.S. from Mexico.</t>
  </si>
  <si>
    <t>show:117821</t>
  </si>
  <si>
    <t>WeCrashed</t>
  </si>
  <si>
    <t>tt12005128</t>
  </si>
  <si>
    <t>117821</t>
  </si>
  <si>
    <t>identity-belonging</t>
  </si>
  <si>
    <t>biopic; political</t>
  </si>
  <si>
    <t>dark; character-driven; twisty; satirical</t>
  </si>
  <si>
    <t>https://www.imdb.com/title/tt12005128/</t>
  </si>
  <si>
    <t>https://www.themoviedb.org/search?query=WeCrashed%202022</t>
  </si>
  <si>
    <t>Inspired by actual events—and the love story at the center of it all. WeWork grew from a single coworking space into a global brand worth $47 billion in under a decade. Then, in less than a year, its valuation dropped $40 billion. What happened?</t>
  </si>
  <si>
    <t>movie:9522</t>
  </si>
  <si>
    <t>Wedding Crashers</t>
  </si>
  <si>
    <t>tt0396269</t>
  </si>
  <si>
    <t>9522</t>
  </si>
  <si>
    <t>romcom</t>
  </si>
  <si>
    <t>hilarious; witty; offbeat</t>
  </si>
  <si>
    <t>https://www.imdb.com/title/tt0396269/</t>
  </si>
  <si>
    <t>https://www.themoviedb.org/search?query=Wedding%20Crashers%202005</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</si>
  <si>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 and heartache – feels like.</t>
  </si>
  <si>
    <t>show:119051</t>
  </si>
  <si>
    <t>Wednesday</t>
  </si>
  <si>
    <t>tt13443470</t>
  </si>
  <si>
    <t>119051</t>
  </si>
  <si>
    <t>friendship-community</t>
  </si>
  <si>
    <t>https://www.imdb.com/title/tt13443470/</t>
  </si>
  <si>
    <t>https://www.themoviedb.org/search?query=Wednesday%202022</t>
  </si>
  <si>
    <t>Smart, sarcastic and a little dead inside, Wednesday Addams investigates twisted mysteries while making new friends — and foes — at Nevermore Academy.</t>
  </si>
  <si>
    <t>show:186</t>
  </si>
  <si>
    <t>Weeds</t>
  </si>
  <si>
    <t>tt0439100</t>
  </si>
  <si>
    <t>186</t>
  </si>
  <si>
    <t>crime-drama; family-drama; dark-comedy</t>
  </si>
  <si>
    <t>dark; witty; satirical; character-driven</t>
  </si>
  <si>
    <t>https://www.imdb.com/title/tt0439100/</t>
  </si>
  <si>
    <t>https://www.themoviedb.org/search?query=Weeds%202005</t>
  </si>
  <si>
    <t>After the unexpected death of her husband, a suburban mom resorts to selling weed to support her family.</t>
  </si>
  <si>
    <t>show:63247</t>
  </si>
  <si>
    <t>Westworld</t>
  </si>
  <si>
    <t>tt0475784</t>
  </si>
  <si>
    <t>63247</t>
  </si>
  <si>
    <t>artificial-intelligence</t>
  </si>
  <si>
    <t>witty; character-driven; dramatic</t>
  </si>
  <si>
    <t>https://www.imdb.com/title/tt0475784/</t>
  </si>
  <si>
    <t>https://www.themoviedb.org/search?query=Westworld%202016</t>
  </si>
  <si>
    <t>A dark odyssey about the dawn of artificial consciousness and the evolution of sin. Set at the intersection of the near future and the reimagined past, it explores a world in which every human appetite, no matter how noble or depraved, can be indulged.</t>
  </si>
  <si>
    <t>show:83631</t>
  </si>
  <si>
    <t>What We Do in the Shadows</t>
  </si>
  <si>
    <t>tt7908628</t>
  </si>
  <si>
    <t>83631</t>
  </si>
  <si>
    <t>sci-fi-fantasy</t>
  </si>
  <si>
    <t>witty; offbeat</t>
  </si>
  <si>
    <t>https://www.imdb.com/title/tt7908628/</t>
  </si>
  <si>
    <t>https://www.themoviedb.org/search?query=What%20We%20Do%20in%20the%20Shadows%202019</t>
  </si>
  <si>
    <t>A documentary-style look into the daily (or rather, nightly) lives of a group of vampires in Staten Island who have “lived” together for hundreds and hundreds of years.</t>
  </si>
  <si>
    <t>movie:244786</t>
  </si>
  <si>
    <t>Whiplash</t>
  </si>
  <si>
    <t>tt2582802</t>
  </si>
  <si>
    <t>244786</t>
  </si>
  <si>
    <t>psychological-thriller</t>
  </si>
  <si>
    <t>https://www.imdb.com/title/tt2582802/</t>
  </si>
  <si>
    <t>https://www.themoviedb.org/search?query=Whiplash%202014</t>
  </si>
  <si>
    <t>Under the direction of a ruthless instructor, a talented young drummer begins to pursue perfection at any cost, even his humanity.</t>
  </si>
  <si>
    <t>show:96237</t>
  </si>
  <si>
    <t>White House Plumbers</t>
  </si>
  <si>
    <t>tt11468254</t>
  </si>
  <si>
    <t>96237</t>
  </si>
  <si>
    <t>biopic; political; dark-comedy</t>
  </si>
  <si>
    <t>satirical; character-driven; dramatic</t>
  </si>
  <si>
    <t>https://www.imdb.com/title/tt11468254/</t>
  </si>
  <si>
    <t>https://www.themoviedb.org/search?query=White%20House%20Plumbers%202023</t>
  </si>
  <si>
    <t>The true story of how Nixon’s own political saboteurs and Watergate masterminds accidentally toppled the Presidency they were zealously trying to protect.</t>
  </si>
  <si>
    <t>show:270476</t>
  </si>
  <si>
    <t>Widow's Bay</t>
  </si>
  <si>
    <t>tt33332385</t>
  </si>
  <si>
    <t>270476</t>
  </si>
  <si>
    <t>horror; psychological-thriller; sci-fi-fantasy</t>
  </si>
  <si>
    <t>dark; satirical; offbeat; suspenseful</t>
  </si>
  <si>
    <t>https://www.imdb.com/title/tt33332385/</t>
  </si>
  <si>
    <t>https://www.themoviedb.org/search?query=Widow%27s%20Bay%202026</t>
  </si>
  <si>
    <t>The mayor of a New England town resolves to turn it into the next tourist hot spot, despite local warnings that it's cursed.</t>
  </si>
  <si>
    <t>show:208569</t>
  </si>
  <si>
    <t>Will Trent</t>
  </si>
  <si>
    <t>tt17543592</t>
  </si>
  <si>
    <t>208569</t>
  </si>
  <si>
    <t>witty; character-driven; inspirational; gritty</t>
  </si>
  <si>
    <t>https://www.imdb.com/title/tt17543592/</t>
  </si>
  <si>
    <t>https://www.themoviedb.org/search?query=Will%20Trent%202023</t>
  </si>
  <si>
    <t>Special Agent Will Trent was abandoned at birth and endured a harsh coming-of-age in Atlanta's overwhelmed foster care system. Determined to make sure no one feels as he did, he now has the highest clearance rate.</t>
  </si>
  <si>
    <t>movie:395834</t>
  </si>
  <si>
    <t>Wind River</t>
  </si>
  <si>
    <t>tt5362988</t>
  </si>
  <si>
    <t>395834</t>
  </si>
  <si>
    <t>colonialism-indigenous</t>
  </si>
  <si>
    <t>https://www.imdb.com/title/tt5362988/</t>
  </si>
  <si>
    <t>https://www.themoviedb.org/search?query=Wind%20River%202017</t>
  </si>
  <si>
    <t>An FBI agent teams with the town's veteran game tracker to investigate a murder that occurred on a Native American reservation.</t>
  </si>
  <si>
    <t>show:124067</t>
  </si>
  <si>
    <t>Winning Time: The Rise of the Lakers Dynasty</t>
  </si>
  <si>
    <t>tt10244600</t>
  </si>
  <si>
    <t>124067</t>
  </si>
  <si>
    <t>sports-competition</t>
  </si>
  <si>
    <t>witty; character-driven; nostalgic; satirical</t>
  </si>
  <si>
    <t>https://www.imdb.com/title/tt10244600/</t>
  </si>
  <si>
    <t>https://www.themoviedb.org/search?query=Winning%20Time%3A%20The%20Rise%20of%20the%20Lakers%20Dynasty%202022</t>
  </si>
  <si>
    <t>A fast-break series chronicling the professional and personal lives of the 1980s Los Angeles Lakers, one of sports' most revered and dominant dynasties — a team that defined an era, both on and off the court.</t>
  </si>
  <si>
    <t>show:198178</t>
  </si>
  <si>
    <t>Wonder Man</t>
  </si>
  <si>
    <t>tt21066182</t>
  </si>
  <si>
    <t>198178</t>
  </si>
  <si>
    <t>arts-performance</t>
  </si>
  <si>
    <t>witty; character-driven; inspirational</t>
  </si>
  <si>
    <t>https://www.imdb.com/title/tt21066182/</t>
  </si>
  <si>
    <t>https://www.themoviedb.org/search?query=Wonder%20Man%202026</t>
  </si>
  <si>
    <t>Simon and Trevor, two actors at opposite ends of their careers, chase life-changing roles.</t>
  </si>
  <si>
    <t>show:87104</t>
  </si>
  <si>
    <t>Years and Years</t>
  </si>
  <si>
    <t>tt8694364</t>
  </si>
  <si>
    <t>87104</t>
  </si>
  <si>
    <t>family-drama; political; sci-fi-fantasy</t>
  </si>
  <si>
    <t>thoughtful; character-driven; dramatic</t>
  </si>
  <si>
    <t>https://www.imdb.com/title/tt8694364/</t>
  </si>
  <si>
    <t>https://www.themoviedb.org/search?query=Years%20and%20Years%202019</t>
  </si>
  <si>
    <t>As Britain is rocked by unstable political, economic and technological advances, members of the Lyons family converge on one crucial night in 2019. Over the next 15 years, the twists and turns of their everyday lives are explored as we find out if this ordinary family could change the world.</t>
  </si>
  <si>
    <t>show:117488</t>
  </si>
  <si>
    <t>Yellowjackets</t>
  </si>
  <si>
    <t>tt11041332</t>
  </si>
  <si>
    <t>117488</t>
  </si>
  <si>
    <t>psychological-thriller; dark-comedy; horror</t>
  </si>
  <si>
    <t>https://www.imdb.com/title/tt11041332/</t>
  </si>
  <si>
    <t>https://www.themoviedb.org/search?query=Yellowjackets%202021</t>
  </si>
  <si>
    <t>This equal parts survival epic, psychological horror story and coming-of-age drama tells the saga of a team of wildly talented high school girls soccer players who become the (un)lucky survivors of a plane crash deep in the remote northern wilderness. The series chronicles their descent from a complicated but thriving team to savage clans, while also tracking the lives they’ve attempted to piece back together nearly 25 years later.</t>
  </si>
  <si>
    <t>show:73586</t>
  </si>
  <si>
    <t>Yellowstone</t>
  </si>
  <si>
    <t>tt4236770</t>
  </si>
  <si>
    <t>73586</t>
  </si>
  <si>
    <t>crime-drama; family-drama; neo-western</t>
  </si>
  <si>
    <t>https://www.imdb.com/title/tt4236770/</t>
  </si>
  <si>
    <t>https://www.themoviedb.org/search?query=Yellowstone%202018</t>
  </si>
  <si>
    <t>Follow the violent world of the Dutton family, who controls the largest contiguous ranch in the United States. Led by their patriarch John Dutton, the family defends their property against constant attack by land developers, an Indian reservation, and America’s first National Park.</t>
  </si>
  <si>
    <t>show:78191</t>
  </si>
  <si>
    <t>You</t>
  </si>
  <si>
    <t>tt7335184</t>
  </si>
  <si>
    <t>78191</t>
  </si>
  <si>
    <t>psychological-thriller; procedural; romance</t>
  </si>
  <si>
    <t>https://www.imdb.com/title/tt7335184/</t>
  </si>
  <si>
    <t>https://www.themoviedb.org/search?query=You%202018</t>
  </si>
  <si>
    <t>A dangerously charming, obsessive man goes to extreme measures to insert himself into the lives of women who fascinate him.</t>
  </si>
  <si>
    <t>show:255661</t>
  </si>
  <si>
    <t>Young Sherlock</t>
  </si>
  <si>
    <t>tt8599532</t>
  </si>
  <si>
    <t>255661</t>
  </si>
  <si>
    <t>education</t>
  </si>
  <si>
    <t>https://www.imdb.com/title/tt8599532/</t>
  </si>
  <si>
    <t>https://www.themoviedb.org/search?query=Young%20Sherlock%202026</t>
  </si>
  <si>
    <t>Sherlock Holmes is a disgraced young man, raw and unfiltered, when he finds himself wrapped up in a murder case that threatens his liberty. His first ever case unravels a globe-trotting conspiracy that changes his life forever.</t>
  </si>
  <si>
    <t>show:241609</t>
  </si>
  <si>
    <t>Your Friends &amp; Neighbors</t>
  </si>
  <si>
    <t>tt30459041</t>
  </si>
  <si>
    <t>241609</t>
  </si>
  <si>
    <t>crime-drama; dark-comedy; psychological-thriller</t>
  </si>
  <si>
    <t>https://www.imdb.com/title/tt30459041/</t>
  </si>
  <si>
    <t>https://www.themoviedb.org/search?query=Your%20Friends%20%26%20Neighbors%202025</t>
  </si>
  <si>
    <t>When a financial titan suddenly finds himself divorced and jobless, he starts robbing his wealthy neighbors to stay afloat. Stealing from his own social circle strangely exhilarates him—but he gradually gets tangled in a deadly web.</t>
  </si>
  <si>
    <t>show:86430</t>
  </si>
  <si>
    <t>Your Honor</t>
  </si>
  <si>
    <t>tt7440726</t>
  </si>
  <si>
    <t>86430</t>
  </si>
  <si>
    <t>crime-drama; legal; psychological-thriller</t>
  </si>
  <si>
    <t>https://www.imdb.com/title/tt7440726/</t>
  </si>
  <si>
    <t>https://www.themoviedb.org/search?query=Your%20Honor%202020</t>
  </si>
  <si>
    <t>New Orleans judge Michael Desiato is forced to confront his own deepest convictions when his son is involved in a hit and run that embroils an organized crime family.</t>
  </si>
  <si>
    <t>movie:97630</t>
  </si>
  <si>
    <t>Zero Dark Thirty</t>
  </si>
  <si>
    <t>tt1790885</t>
  </si>
  <si>
    <t>97630</t>
  </si>
  <si>
    <t>espionage-national-security</t>
  </si>
  <si>
    <t>spy-espionage; political; historical</t>
  </si>
  <si>
    <t>gritty; intense; dark; slow-burn</t>
  </si>
  <si>
    <t>https://www.imdb.com/title/tt1790885/</t>
  </si>
  <si>
    <t>https://www.themoviedb.org/search?query=Zero%20Dark%20Thirty%202012</t>
  </si>
  <si>
    <t>A chronicle of the decade-long hunt for al-Qaeda terrorist leader Osama bin Laden after the September 2001 attacks, and his death at the hands of the Navy S.E.A.L. Team 6 in May, 2011.</t>
  </si>
  <si>
    <t>show:216082</t>
  </si>
  <si>
    <t>Zero Day</t>
  </si>
  <si>
    <t>tt23872886</t>
  </si>
  <si>
    <t>216082</t>
  </si>
  <si>
    <t>procedural; political; dark-comedy</t>
  </si>
  <si>
    <t>https://www.imdb.com/title/tt23872886/</t>
  </si>
  <si>
    <t>https://www.themoviedb.org/search?query=Zero%20Day%202025</t>
  </si>
  <si>
    <t>A former U.S. President is called out of retirement to find the source of a deadly cyberattack, only to discover a vast web of lies and conspiracies.</t>
  </si>
  <si>
    <t>show:92137</t>
  </si>
  <si>
    <t>ZeroZeroZero</t>
  </si>
  <si>
    <t>tt8332438</t>
  </si>
  <si>
    <t>92137</t>
  </si>
  <si>
    <t>https://www.imdb.com/title/tt8332438/</t>
  </si>
  <si>
    <t>https://www.themoviedb.org/search?query=ZeroZeroZero%202020</t>
  </si>
  <si>
    <t>Based on the book of the same name by bestselling author Roberto Saviano, ZeroZeroZero is an unforgettable exploration of the inner workings of the global cocaine trade.</t>
  </si>
  <si>
    <t>show:286709</t>
  </si>
  <si>
    <t>The Westies</t>
  </si>
  <si>
    <t>tt31849235</t>
  </si>
  <si>
    <t>286709</t>
  </si>
  <si>
    <t>https://www.imdb.com/title/tt31849235/</t>
  </si>
  <si>
    <t>https://www.themoviedb.org/search?query=The%20Westies%202026</t>
  </si>
  <si>
    <t>As the Javits Center construction project ignites a battle for profit in early 1980s Hell's Kitchen, a generational rift threatens the uneasy peace between violent Irish gang the Westies and the Mafia, and draws FBI heat.</t>
  </si>
  <si>
    <t>Batch 12</t>
  </si>
  <si>
    <t>show:291084</t>
  </si>
  <si>
    <t>Best Medicine</t>
  </si>
  <si>
    <t>tt36885662</t>
  </si>
  <si>
    <t>291084</t>
  </si>
  <si>
    <t>https://www.imdb.com/title/tt36885662/</t>
  </si>
  <si>
    <t>https://www.themoviedb.org/search?query=Best%20Medicine%202026</t>
  </si>
  <si>
    <t>Martin Best is a brilliant surgeon who abruptly leaves his illustrious career in Boston to become the general practitioner in a quaint East Coast fishing village where he spent summers as a child. Unfortunately, Martin's blunt and borderline rude bedside manner rubs the quirky, needy locals the wrong way, and he quickly alienates the town, even though he's all they’ve got.</t>
  </si>
  <si>
    <t>show:254528</t>
  </si>
  <si>
    <t>The Hawk</t>
  </si>
  <si>
    <t>tt27550719</t>
  </si>
  <si>
    <t>254528</t>
  </si>
  <si>
    <t>sports; workplace-comedy</t>
  </si>
  <si>
    <t>https://www.imdb.com/title/tt27550719/</t>
  </si>
  <si>
    <t>https://www.themoviedb.org/search?query=The%20Hawk%202026</t>
  </si>
  <si>
    <t>On the back nine of his career, golf legend Lonnie "The Hawk" Hawkins chases one final major — and drags everyone he loves into the chaos.</t>
  </si>
  <si>
    <t>show:254420</t>
  </si>
  <si>
    <t>Elle</t>
  </si>
  <si>
    <t>tt32020831</t>
  </si>
  <si>
    <t>254420</t>
  </si>
  <si>
    <t>witty; nostalgic; character-driven; offbeat</t>
  </si>
  <si>
    <t>https://www.imdb.com/title/tt32020831/</t>
  </si>
  <si>
    <t>https://www.themoviedb.org/search?query=Elle%202026</t>
  </si>
  <si>
    <t>Before Elle Woods was a fish-out-of-water at Harvard, we meet her in 1995 in the tumultuous waters of high school where she encounters tricky friendships, forbidden romance, and questionable fashion choices. In this unexpected chapter of her adolescence, we learn about the experiences that shaped Elle into the iconic young woman we've come to know and love.</t>
  </si>
  <si>
    <t>show:287238</t>
  </si>
  <si>
    <t>Furious</t>
  </si>
  <si>
    <t>tt36303968</t>
  </si>
  <si>
    <t>287238</t>
  </si>
  <si>
    <t>https://www.imdb.com/title/tt36303968/</t>
  </si>
  <si>
    <t>https://www.themoviedb.org/search?query=Furious%202026</t>
  </si>
  <si>
    <t>FBI agent Alice Black is on the hunt for a mysterious and calculating female serial killer. Both walk their own paths toward justice, and as their lives start to intertwine, the line between right and wrong begins to blur.</t>
  </si>
  <si>
    <t>show:278624</t>
  </si>
  <si>
    <t>Lucky</t>
  </si>
  <si>
    <t>tt34866681</t>
  </si>
  <si>
    <t>278624</t>
  </si>
  <si>
    <t>heist; procedural</t>
  </si>
  <si>
    <t>gritty; intense; suspenseful; twisty</t>
  </si>
  <si>
    <t>https://www.imdb.com/title/tt34866681/</t>
  </si>
  <si>
    <t>https://www.themoviedb.org/search?query=Lucky%202026</t>
  </si>
  <si>
    <t>When a multi-million-dollar heist goes sideways, con artist Lucky is forced to go on the run. Pursued by both the FBI and a ruthless crime boss, Lucky must fight for her life—and a way out.</t>
  </si>
  <si>
    <t>movie:1318413</t>
  </si>
  <si>
    <t>Pressure</t>
  </si>
  <si>
    <t>tt32547691</t>
  </si>
  <si>
    <t>1318413</t>
  </si>
  <si>
    <t>historical; war</t>
  </si>
  <si>
    <t>intense; suspenseful; character-driven; thoughtful</t>
  </si>
  <si>
    <t>https://www.imdb.com/title/tt32547691/</t>
  </si>
  <si>
    <t>https://www.themoviedb.org/search?query=Pressure%202026</t>
  </si>
  <si>
    <t>In the tense 72 hours before D-Day, and the fate of the free world hanging in the balance, General Dwight D. Eisenhower and Captain James Stagg face an impossible choice—launch the largest and most dangerous seaborne invasion in history or risk losing the war altogether.</t>
  </si>
  <si>
    <t>show:131142</t>
  </si>
  <si>
    <t>Love Story</t>
  </si>
  <si>
    <t>tt15232564</t>
  </si>
  <si>
    <t>131142</t>
  </si>
  <si>
    <t>inspirational; character-driven; slow-burn</t>
  </si>
  <si>
    <t>https://www.imdb.com/title/tt15232564/</t>
  </si>
  <si>
    <t>https://www.themoviedb.org/search?query=Love%20Story%202026</t>
  </si>
  <si>
    <t>An anthology of sweeping true love stories that captured the world’s attention.</t>
  </si>
  <si>
    <t>show:303630</t>
  </si>
  <si>
    <t>Cupertino</t>
  </si>
  <si>
    <t>tt33270224</t>
  </si>
  <si>
    <t>303630</t>
  </si>
  <si>
    <t>legal</t>
  </si>
  <si>
    <t>gritty; intense; inspirational; character-driven</t>
  </si>
  <si>
    <t>https://www.imdb.com/title/tt33270224/</t>
  </si>
  <si>
    <t>https://www.themoviedb.org/search?query=Cupertino%202026</t>
  </si>
  <si>
    <t>A scrappy lawyer takes on a powerful tech giant in a high-stakes legal battle, navigating the cutthroat world of Silicon Valley while fighting for justice and the little guy's rights.</t>
  </si>
  <si>
    <t>show:273207</t>
  </si>
  <si>
    <t>Neagley</t>
  </si>
  <si>
    <t>tt33539520</t>
  </si>
  <si>
    <t>273207</t>
  </si>
  <si>
    <t>gritty; intense; suspenseful; dark</t>
  </si>
  <si>
    <t>https://www.imdb.com/title/tt33539520/</t>
  </si>
  <si>
    <t>https://www.themoviedb.org/search?query=Neagley%202026</t>
  </si>
  <si>
    <t>Frances Neagley is a private investigator in Chicago. When she learns that a beloved friend from her past has been killed in a suspicious accident, she becomes hell bent on justice. Using everything she's learned from Jack Reacher and her time as a member of the 110 Special Investigators, Neagley puts herself on a dangerous path to uncover a menacing evil.</t>
  </si>
  <si>
    <t>show:213562</t>
  </si>
  <si>
    <t>Crystal Lake</t>
  </si>
  <si>
    <t>tt23148340</t>
  </si>
  <si>
    <t>213562</t>
  </si>
  <si>
    <t>parenthood</t>
  </si>
  <si>
    <t>dark; suspenseful; slow-burn; character-driven</t>
  </si>
  <si>
    <t>https://www.imdb.com/title/tt23148340/</t>
  </si>
  <si>
    <t>https://www.themoviedb.org/search?query=Crystal%20Lake%202026</t>
  </si>
  <si>
    <t>Single mother Pam Voorhees has been unable to shake her grief after her young, sickly son Jason tragically drowned in the town lake almost a year before. When two strangers arrive at Pam’s door digging into her past, a disturbing chain of events are set into motion, leaving the townspeople of Crystal Lake wondering: just who is Pam Voorhees?</t>
  </si>
  <si>
    <t>show:273240</t>
  </si>
  <si>
    <t>Off Campus</t>
  </si>
  <si>
    <t>tt33546863</t>
  </si>
  <si>
    <t>273240</t>
  </si>
  <si>
    <t>character-driven; slow-burn; thoughtful</t>
  </si>
  <si>
    <t>https://www.imdb.com/title/tt33546863/</t>
  </si>
  <si>
    <t>https://www.themoviedb.org/search?query=Off%20Campus%202026</t>
  </si>
  <si>
    <t>Hannah Wells tutors hockey captain Garrett Graham to win over her crush. Their deal becomes real connection as they face their pasts. Friends Logan, Dean, Tucker, and Allie navigate college life and love.</t>
  </si>
  <si>
    <t>movie:875828</t>
  </si>
  <si>
    <t>Peaky Blinders: The Immortal Man</t>
  </si>
  <si>
    <t>tt15574124</t>
  </si>
  <si>
    <t>875828</t>
  </si>
  <si>
    <t>crime-drama; historical</t>
  </si>
  <si>
    <t>https://www.imdb.com/title/tt15574124/</t>
  </si>
  <si>
    <t>https://www.themoviedb.org/search?query=Peaky%20Blinders%3A%20The%20Immortal%20Man%202026</t>
  </si>
  <si>
    <t>After his estranged son gets embroiled in a Nazi plot, self-exiled gangster Tommy Shelby must return to Birmingham to save his family — and his nation.</t>
  </si>
  <si>
    <t>show:95350</t>
  </si>
  <si>
    <t>Lanterns</t>
  </si>
  <si>
    <t>tt26545992</t>
  </si>
  <si>
    <t>95350</t>
  </si>
  <si>
    <t>superhero; procedural</t>
  </si>
  <si>
    <t>https://www.imdb.com/title/tt26545992/</t>
  </si>
  <si>
    <t>https://www.themoviedb.org/search?query=Lanterns%202026</t>
  </si>
  <si>
    <t>Two intergalactic cops, new recruit John Stewart and Lantern legend Hal Jordan, are drawn into a dark, Earth-based mystery as they investigate a murder in the American heartland.</t>
  </si>
  <si>
    <t>movie:1265609</t>
  </si>
  <si>
    <t>War Machine</t>
  </si>
  <si>
    <t>tt15940132</t>
  </si>
  <si>
    <t>1265609</t>
  </si>
  <si>
    <t>war; sci-fi-fantasy</t>
  </si>
  <si>
    <t>https://www.imdb.com/title/tt15940132/</t>
  </si>
  <si>
    <t>https://www.themoviedb.org/search?query=War%20Machine%202026</t>
  </si>
  <si>
    <t>On one last grueling mission during Army Ranger training, a combat engineer must lead his unit in a fight against a giant otherworldly killing machine.</t>
  </si>
  <si>
    <t>movie:1265063</t>
  </si>
  <si>
    <t>After the Hunt</t>
  </si>
  <si>
    <t>tt32159989</t>
  </si>
  <si>
    <t>1265063</t>
  </si>
  <si>
    <t>psychological-thriller; family-drama</t>
  </si>
  <si>
    <t>https://www.imdb.com/title/tt32159989/</t>
  </si>
  <si>
    <t>https://www.themoviedb.org/search?query=After%20the%20Hunt%202025</t>
  </si>
  <si>
    <t>A college professor finds herself at a personal and professional crossroads when a star pupil levels an accusation against one of her colleagues, and a dark secret from her own past threatens to come to light.</t>
  </si>
  <si>
    <t>show:252107</t>
  </si>
  <si>
    <t>Star City</t>
  </si>
  <si>
    <t>tt32140872</t>
  </si>
  <si>
    <t>252107</t>
  </si>
  <si>
    <t>suspenseful; character-driven; dramatic</t>
  </si>
  <si>
    <t>https://www.imdb.com/title/tt32140872/</t>
  </si>
  <si>
    <t>https://www.themoviedb.org/search?query=Star%20City%202026</t>
  </si>
  <si>
    <t>Step into a thrilling chapter inspired by For All Mankind. Same alt-history universe. Different perspective: the Soviet Union's. Go behind the Iron Curtain with the cosmonauts, engineers, and intelligence officers who risked it all in the race for the Moon.</t>
  </si>
  <si>
    <t>movie:1007734</t>
  </si>
  <si>
    <t>Nobody 2</t>
  </si>
  <si>
    <t>tt28996126</t>
  </si>
  <si>
    <t>1007734</t>
  </si>
  <si>
    <t>dark-comedy</t>
  </si>
  <si>
    <t>gritty; witty; intense; offbeat</t>
  </si>
  <si>
    <t>https://www.imdb.com/title/tt28996126/</t>
  </si>
  <si>
    <t>https://www.themoviedb.org/search?query=Nobody%202%202025</t>
  </si>
  <si>
    <t>Former assassin Hutch Mansell takes his family on a nostalgic vacation to a small-town theme park, only to be pulled back into violence when they clash with a corrupt operator, a crooked sheriff, and a ruthless crime boss.</t>
  </si>
  <si>
    <t>movie:1236470</t>
  </si>
  <si>
    <t>The Lost Bus</t>
  </si>
  <si>
    <t>tt21103218</t>
  </si>
  <si>
    <t>1236470</t>
  </si>
  <si>
    <t>biopic</t>
  </si>
  <si>
    <t>intense; suspenseful; inspirational; character-driven</t>
  </si>
  <si>
    <t>https://www.imdb.com/title/tt21103218/</t>
  </si>
  <si>
    <t>https://www.themoviedb.org/search?query=The%20Lost%20Bus%202025</t>
  </si>
  <si>
    <t>A determined father risks everything to rescue a dedicated teacher and her students from a raging wildfire.</t>
  </si>
  <si>
    <t>movie:760329</t>
  </si>
  <si>
    <t>The Smashing Machine</t>
  </si>
  <si>
    <t>tt11214558</t>
  </si>
  <si>
    <t>760329</t>
  </si>
  <si>
    <t>addiction-recovery</t>
  </si>
  <si>
    <t>biopic; sports</t>
  </si>
  <si>
    <t>intense; character-driven; dramatic</t>
  </si>
  <si>
    <t>https://www.imdb.com/title/tt11214558/</t>
  </si>
  <si>
    <t>https://www.themoviedb.org/search?query=The%20Smashing%20Machine%202025</t>
  </si>
  <si>
    <t>In the late 1990s, up-and-coming mixed martial artist Mark Kerr aspires to become the greatest fighter in the world. However, he must also battle his opioid dependence and a volatile relationship with his girlfriend Dawn.</t>
  </si>
  <si>
    <t>movie:986097</t>
  </si>
  <si>
    <t>HIM</t>
  </si>
  <si>
    <t>tt20990442</t>
  </si>
  <si>
    <t>986097</t>
  </si>
  <si>
    <t>https://www.imdb.com/title/tt20990442/</t>
  </si>
  <si>
    <t>https://www.themoviedb.org/search?query=HIM%202025</t>
  </si>
  <si>
    <t>After suffering a potentially career-ending brain trauma, Cameron Cade receives a lifeline when his hero, legendary eight-time Championship quarterback and cultural megastar Isaiah White, offers to train Cam at Isaiah's isolated compound that he shares with his celebrity influencer wife. But as Cam's training accelerates, Isaiah's charisma begins to curdle into something darker.</t>
  </si>
  <si>
    <t>show:259453</t>
  </si>
  <si>
    <t>Suits LA</t>
  </si>
  <si>
    <t>tt29485142</t>
  </si>
  <si>
    <t>259453</t>
  </si>
  <si>
    <t>gritty; intense; character-driven; witty</t>
  </si>
  <si>
    <t>https://www.imdb.com/title/tt29485142/</t>
  </si>
  <si>
    <t>https://www.themoviedb.org/search?query=Suits%20LA%202025</t>
  </si>
  <si>
    <t>Ted Black, a former federal prosecutor from New York, has reinvented himself representing the most powerful clients in Los Angeles. But his firm is at a crisis point, and in order to survive, he must embrace a role he held in contempt his entire career.</t>
  </si>
  <si>
    <t>movie:1244999</t>
  </si>
  <si>
    <t>Stans</t>
  </si>
  <si>
    <t>tt31313835</t>
  </si>
  <si>
    <t>1244999</t>
  </si>
  <si>
    <t>celebrity-fame</t>
  </si>
  <si>
    <t>musical; biopic</t>
  </si>
  <si>
    <t>character-driven; thoughtful; nostalgic; intense</t>
  </si>
  <si>
    <t>https://www.imdb.com/title/tt31313835/</t>
  </si>
  <si>
    <t>https://www.themoviedb.org/search?query=Stans%202025</t>
  </si>
  <si>
    <t>A revealing, edgy, and disarmingly personal journey into the world of superfandom, told through the lens of one of the world's most iconic and enduring artists, Eminem, and the fans that worship him.</t>
  </si>
  <si>
    <t>movie:541671</t>
  </si>
  <si>
    <t>Ballerina</t>
  </si>
  <si>
    <t>tt7181546</t>
  </si>
  <si>
    <t>541671</t>
  </si>
  <si>
    <t>https://www.imdb.com/title/tt7181546/</t>
  </si>
  <si>
    <t>https://www.themoviedb.org/search?query=Ballerina%202025</t>
  </si>
  <si>
    <t>Taking place during the events of John Wick: Chapter 3 – Parabellum, Eve Macarro begins her training in the assassin traditions of the Ruska Roma.</t>
  </si>
  <si>
    <t>show:43982</t>
  </si>
  <si>
    <t>Line of Duty</t>
  </si>
  <si>
    <t>tt2303687</t>
  </si>
  <si>
    <t>43982</t>
  </si>
  <si>
    <t>https://www.imdb.com/title/tt2303687/</t>
  </si>
  <si>
    <t>https://www.themoviedb.org/search?query=Line%20of%20Duty%202012</t>
  </si>
  <si>
    <t>A drama about the investigations of AC-12, a controversial police anticorruption unit.</t>
  </si>
  <si>
    <t>show:245256</t>
  </si>
  <si>
    <t>Say Nothing</t>
  </si>
  <si>
    <t>tt31122777</t>
  </si>
  <si>
    <t>245256</t>
  </si>
  <si>
    <t>racism-discrimination</t>
  </si>
  <si>
    <t>historical; political; crime-drama</t>
  </si>
  <si>
    <t>https://www.imdb.com/title/tt31122777/</t>
  </si>
  <si>
    <t>https://www.themoviedb.org/search?query=Say%20Nothing%202024</t>
  </si>
  <si>
    <t>Through the eyes of various Irish Republican Army (IRA) members, explore the extremes some people will go to in the name of their beliefs, the way a deeply divided society can suddenly tip over into armed conflict, the long shadow of radical violence for both victims and perpetrators, and the emotional and psychological costs of a code of silence.</t>
  </si>
  <si>
    <t>show:139099</t>
  </si>
  <si>
    <t>The Consultant</t>
  </si>
  <si>
    <t>tt16152716</t>
  </si>
  <si>
    <t>139099</t>
  </si>
  <si>
    <t>dark; witty; satirical; twisty</t>
  </si>
  <si>
    <t>https://www.imdb.com/title/tt16152716/</t>
  </si>
  <si>
    <t>https://www.themoviedb.org/search?query=The%20Consultant%202023</t>
  </si>
  <si>
    <t>After an unspeakable tragedy at CompWare, a games studio based in downtown Los Angeles, a mysterious consultant, Regus Patoff, blows into town and takes charge.</t>
  </si>
  <si>
    <t>show:80307</t>
  </si>
  <si>
    <t>Bodyguard</t>
  </si>
  <si>
    <t>tt7493974</t>
  </si>
  <si>
    <t>80307</t>
  </si>
  <si>
    <t>procedural; political; family-drama</t>
  </si>
  <si>
    <t>https://www.imdb.com/title/tt7493974/</t>
  </si>
  <si>
    <t>https://www.themoviedb.org/search?query=Bodyguard%202018</t>
  </si>
  <si>
    <t>A troubled war veteran is assigned to protect a controversial politician who may be the target of a terror plot.</t>
  </si>
  <si>
    <t>show:73375</t>
  </si>
  <si>
    <t>Tom Clancy's Jack Ryan</t>
  </si>
  <si>
    <t>tt5057054</t>
  </si>
  <si>
    <t>73375</t>
  </si>
  <si>
    <t>spy-espionage</t>
  </si>
  <si>
    <t>intense; suspenseful; gritty</t>
  </si>
  <si>
    <t>https://www.imdb.com/title/tt5057054/</t>
  </si>
  <si>
    <t>https://www.themoviedb.org/search?query=Tom%20Clancy%27s%20Jack%20Ryan%202018</t>
  </si>
  <si>
    <t>When CIA analyst Jack Ryan stumbles upon a suspicious series of bank transfers his search for answers pulls him from the safety of his desk job and catapults him into a deadly game of cat and mouse throughout Europe and the Middle East, with a rising terrorist figurehead preparing for a massive attack against the US and her allies.</t>
  </si>
  <si>
    <t>show:63646</t>
  </si>
  <si>
    <t>Counterpart</t>
  </si>
  <si>
    <t>tt4643084</t>
  </si>
  <si>
    <t>63646</t>
  </si>
  <si>
    <t>slow-burn; dark; character-driven; suspenseful</t>
  </si>
  <si>
    <t>https://www.imdb.com/title/tt4643084/</t>
  </si>
  <si>
    <t>https://www.themoviedb.org/search?query=Counterpart%202017</t>
  </si>
  <si>
    <t>Howard Silk is a lowly cog in a bureaucratic UN agency who is turning the last corner of a life filled with regret when he discovers the agency he works for is guarding a secret: a crossing to a parallel dimension.</t>
  </si>
  <si>
    <t>movie:17431</t>
  </si>
  <si>
    <t>Moon</t>
  </si>
  <si>
    <t>tt1182345</t>
  </si>
  <si>
    <t>17431</t>
  </si>
  <si>
    <t>sci-fi-fantasy; psychological-thriller</t>
  </si>
  <si>
    <t>intense; melancholy; thoughtful</t>
  </si>
  <si>
    <t>https://www.imdb.com/title/tt1182345/</t>
  </si>
  <si>
    <t>https://www.themoviedb.org/search?query=Moon%202009</t>
  </si>
  <si>
    <t>With only three weeks left in his three-year contract, Sam Bell is eager to return to Earth. Stationed alone at a Moon-based facility with his computer assistant GERTY, an unexpected accident sets off a series of unsettling events that shake his isolation.</t>
  </si>
  <si>
    <t>show:290856</t>
  </si>
  <si>
    <t>Marshals</t>
  </si>
  <si>
    <t>tt36849871</t>
  </si>
  <si>
    <t>290856</t>
  </si>
  <si>
    <t>gritty; intense; character-driven; dark</t>
  </si>
  <si>
    <t>https://www.imdb.com/title/tt36849871/</t>
  </si>
  <si>
    <t>https://www.themoviedb.org/search?query=Marshals%202026</t>
  </si>
  <si>
    <t>With the Yellowstone Ranch behind him, Kayce Dutton joins an elite unit of U.S. Marshals, combining his skills as a cowboy and Navy SEAL to bring range justice to Montana, where he and his teammates must balance family, duty and the high psychological cost that comes with serving as the last line of defense in the region's war on violence.</t>
  </si>
  <si>
    <t>show:66025</t>
  </si>
  <si>
    <t>Animal Kingdom</t>
  </si>
  <si>
    <t>tt5574490</t>
  </si>
  <si>
    <t>66025</t>
  </si>
  <si>
    <t>crime-drama; family-drama</t>
  </si>
  <si>
    <t>https://www.imdb.com/title/tt5574490/</t>
  </si>
  <si>
    <t>https://www.themoviedb.org/search?query=Animal%20Kingdom%202016</t>
  </si>
  <si>
    <t>17-year-old Joshua "J" Cody moves in with his freewheeling relatives in their Southern California beach town after his mother dies of a heroin overdose. Headed by boot-tough matriarch Janine "Smurf" Cody and her right-hand Baz, who runs the business and calls the shots, the clan also consists of Pope, the oldest and most dangerous of the Cody boys; Craig, the tough and fearless middle son; and Deran, the troubled, suspicious "baby" of the family.</t>
  </si>
  <si>
    <t>show:2562</t>
  </si>
  <si>
    <t>How the West Was Won</t>
  </si>
  <si>
    <t>1977</t>
  </si>
  <si>
    <t>tt0077027</t>
  </si>
  <si>
    <t>2562</t>
  </si>
  <si>
    <t>historical; family-drama</t>
  </si>
  <si>
    <t>character-driven; nostalgic; inspirational</t>
  </si>
  <si>
    <t>https://www.imdb.com/title/tt0077027/</t>
  </si>
  <si>
    <t>https://www.themoviedb.org/search?query=How%20the%20West%20Was%20Won%201977</t>
  </si>
  <si>
    <t>The Macahans, a family from Virginia headed by Zeb Macahan, travel across the country to pioneer a new land and a new home in the American West.</t>
  </si>
  <si>
    <t>show:138971</t>
  </si>
  <si>
    <t>Billy the Kid</t>
  </si>
  <si>
    <t>tt14586544</t>
  </si>
  <si>
    <t>138971</t>
  </si>
  <si>
    <t>historical; biopic; romance</t>
  </si>
  <si>
    <t>https://www.imdb.com/title/tt14586544/</t>
  </si>
  <si>
    <t>https://www.themoviedb.org/search?query=Billy%20the%20Kid%202022</t>
  </si>
  <si>
    <t>An epic romantic adventure series based on the life of famous American outlaw Billy the Kid — from his humble Irish roots, to his early days as a cowboy and gunslinger in the American frontier, to his pivotal role in the Lincoln County War and beyond.</t>
  </si>
  <si>
    <t>show:43901</t>
  </si>
  <si>
    <t>Longmire</t>
  </si>
  <si>
    <t>tt1836037</t>
  </si>
  <si>
    <t>43901</t>
  </si>
  <si>
    <t>gritty; character-driven; slow-burn; melancholy</t>
  </si>
  <si>
    <t>https://www.imdb.com/title/tt1836037/</t>
  </si>
  <si>
    <t>https://www.themoviedb.org/search?query=Longmire%202012</t>
  </si>
  <si>
    <t>A Wyoming sheriff rebuilds his life and career following the death of his wife. Based on the “Walt Longmire” series of mystery novels written by best-selling author Craig Johnson.</t>
  </si>
  <si>
    <t>show:1915</t>
  </si>
  <si>
    <t>The Larry Sanders Show</t>
  </si>
  <si>
    <t>1992</t>
  </si>
  <si>
    <t>tt0103466</t>
  </si>
  <si>
    <t>1915</t>
  </si>
  <si>
    <t>satirical; witty; character-driven</t>
  </si>
  <si>
    <t>https://www.imdb.com/title/tt0103466/</t>
  </si>
  <si>
    <t>https://www.themoviedb.org/search?query=The%20Larry%20Sanders%20Show%201992</t>
  </si>
  <si>
    <t>Comic Garry Shandling draws upon his own talk show experiences to create the character of Larry Sanders, a paranoid, insecure host of a late night talk show. Larry, along with his obsequious TV sidekick Hank Kingsley and his fiercely protective producer Artie, allows Garry Shandling and his talented writers to look behind the scenes and to show us a convincing slice of behind the camera life.</t>
  </si>
  <si>
    <t>show:1401</t>
  </si>
  <si>
    <t>Hell on Wheels</t>
  </si>
  <si>
    <t>tt1699748</t>
  </si>
  <si>
    <t>1401</t>
  </si>
  <si>
    <t>railroad-expansion-and-revenge</t>
  </si>
  <si>
    <t>historical-western; revenge-western; railroad-drama</t>
  </si>
  <si>
    <t>gritty; atmospheric; violent; character-driven</t>
  </si>
  <si>
    <t>https://www.imdb.com/title/tt1699748/</t>
  </si>
  <si>
    <t>https://www.themoviedb.org/search?query=Hell%20on%20Wheels%202011</t>
  </si>
  <si>
    <t>Railroad expansion and revenge is the central narrative concern supported by title-specific synopsis and classification sources.</t>
  </si>
  <si>
    <t>show:122235</t>
  </si>
  <si>
    <t>Joe Pickett</t>
  </si>
  <si>
    <t>tt14271652</t>
  </si>
  <si>
    <t>122235</t>
  </si>
  <si>
    <t>family-and-frontier-justice</t>
  </si>
  <si>
    <t>neo-western; mystery-drama; family-drama</t>
  </si>
  <si>
    <t>rugged; suspenseful; character-driven; atmospheric</t>
  </si>
  <si>
    <t>https://www.imdb.com/title/tt14271652/</t>
  </si>
  <si>
    <t>https://www.themoviedb.org/search?query=Joe%20Pickett%202021</t>
  </si>
  <si>
    <t>Family and frontier justice is the central narrative concern supported by title-specific synopsis and classification sources.</t>
  </si>
  <si>
    <t>show:128904</t>
  </si>
  <si>
    <t>Dark Winds</t>
  </si>
  <si>
    <t>tt15017118</t>
  </si>
  <si>
    <t>128904</t>
  </si>
  <si>
    <t>indigenous-justice-and-secrets</t>
  </si>
  <si>
    <t>police-procedural; indigenous-noir; psychological-mystery</t>
  </si>
  <si>
    <t>atmospheric; tense; spiritual; character-driven</t>
  </si>
  <si>
    <t>https://www.imdb.com/title/tt15017118/</t>
  </si>
  <si>
    <t>https://www.themoviedb.org/search?query=Dark%20Winds%202022</t>
  </si>
  <si>
    <t>Indigenous justice and secrets is the central narrative concern supported by title-specific synopsis and classification sources.</t>
  </si>
  <si>
    <t>show:89498</t>
  </si>
  <si>
    <t>Deputy</t>
  </si>
  <si>
    <t>tt8873996</t>
  </si>
  <si>
    <t>89498</t>
  </si>
  <si>
    <t>unconventional-law-enforcement</t>
  </si>
  <si>
    <t>police-procedural; western-crime; workplace-drama</t>
  </si>
  <si>
    <t>gritty; energetic; character-driven; suspenseful</t>
  </si>
  <si>
    <t>https://www.imdb.com/title/tt8873996/</t>
  </si>
  <si>
    <t>https://www.themoviedb.org/search?query=Deputy%202020</t>
  </si>
  <si>
    <t>Unconventional law enforcement is the central narrative concern supported by title-specific synopsis and classification sources.</t>
  </si>
  <si>
    <t>show:5742</t>
  </si>
  <si>
    <t>Return to Lonesome Dove</t>
  </si>
  <si>
    <t>1993</t>
  </si>
  <si>
    <t>tt0106112</t>
  </si>
  <si>
    <t>5742</t>
  </si>
  <si>
    <t>frontier-legacy-and-homecoming</t>
  </si>
  <si>
    <t>historical-western; frontier-adventure; miniseries</t>
  </si>
  <si>
    <t>epic; rugged; nostalgic; dramatic</t>
  </si>
  <si>
    <t>https://www.imdb.com/title/tt0106112/</t>
  </si>
  <si>
    <t>https://www.themoviedb.org/search?query=Return%20to%20Lonesome%20Dove%201993</t>
  </si>
  <si>
    <t>Frontier legacy and homecoming is the central narrative concern supported by title-specific synopsis and classification sources.</t>
  </si>
  <si>
    <t>show:243396</t>
  </si>
  <si>
    <t>Territory</t>
  </si>
  <si>
    <t>tt28703559</t>
  </si>
  <si>
    <t>243396</t>
  </si>
  <si>
    <t>ranch-succession-and-power</t>
  </si>
  <si>
    <t>rugged; tense; sweeping; character-driven</t>
  </si>
  <si>
    <t>https://www.imdb.com/title/tt28703559/</t>
  </si>
  <si>
    <t>https://www.themoviedb.org/search?query=Territory%202024</t>
  </si>
  <si>
    <t>Ranch succession and power is the central narrative concern supported by title-specific synopsis and classification sources.</t>
  </si>
  <si>
    <t>show:204999</t>
  </si>
  <si>
    <t>Faraway Downs</t>
  </si>
  <si>
    <t>tt21158320</t>
  </si>
  <si>
    <t>204999</t>
  </si>
  <si>
    <t>land-family-and-indigenous-injustice</t>
  </si>
  <si>
    <t>historical-epic; romantic-drama; western</t>
  </si>
  <si>
    <t>sweeping; romantic; emotional; visually-rich</t>
  </si>
  <si>
    <t>https://www.imdb.com/title/tt21158320/</t>
  </si>
  <si>
    <t>https://www.themoviedb.org/search?query=Faraway%20Downs%202023</t>
  </si>
  <si>
    <t>Land family and indigenous injustice is the central narrative concern supported by title-specific synopsis and classification sources.</t>
  </si>
  <si>
    <t>show:116450</t>
  </si>
  <si>
    <t>And Just Like That…</t>
  </si>
  <si>
    <t>tt13819960</t>
  </si>
  <si>
    <t>116450</t>
  </si>
  <si>
    <t>midlife-friendship-and-change</t>
  </si>
  <si>
    <t>romantic-comedy; friendship-drama; city-comedy</t>
  </si>
  <si>
    <t>stylish; warm; bittersweet; witty</t>
  </si>
  <si>
    <t>https://www.imdb.com/title/tt13819960/</t>
  </si>
  <si>
    <t>https://www.themoviedb.org/search?query=And%20Just%20Like%20That%E2%80%A6%202021</t>
  </si>
  <si>
    <t>Midlife friendship and change is the central narrative concern supported by title-specific synopsis and classification sources.</t>
  </si>
  <si>
    <t>show:90399</t>
  </si>
  <si>
    <t>Ambitions</t>
  </si>
  <si>
    <t>tt9319680</t>
  </si>
  <si>
    <t>90399</t>
  </si>
  <si>
    <t>power-and-family-rivalry</t>
  </si>
  <si>
    <t>soap-opera; family-drama; business-drama</t>
  </si>
  <si>
    <t>dramatic; glossy; twisty; intense</t>
  </si>
  <si>
    <t>https://www.imdb.com/title/tt9319680/</t>
  </si>
  <si>
    <t>https://www.themoviedb.org/search?query=Ambitions%202019</t>
  </si>
  <si>
    <t>Power and family rivalry is the central narrative concern supported by title-specific synopsis and classification sources.</t>
  </si>
  <si>
    <t>show:100883</t>
  </si>
  <si>
    <t>Never Have I Ever</t>
  </si>
  <si>
    <t>tt10062292</t>
  </si>
  <si>
    <t>100883</t>
  </si>
  <si>
    <t>adolescent-identity-and-grief</t>
  </si>
  <si>
    <t>coming-of-age; teen-comedy; family-comedy</t>
  </si>
  <si>
    <t>witty; heartfelt; energetic; emotional</t>
  </si>
  <si>
    <t>https://www.imdb.com/title/tt10062292/</t>
  </si>
  <si>
    <t>https://www.themoviedb.org/search?query=Never%20Have%20I%20Ever%202020</t>
  </si>
  <si>
    <t>Adolescent identity and grief is the central narrative concern supported by title-specific synopsis and classification sources.</t>
  </si>
  <si>
    <t>show:64199</t>
  </si>
  <si>
    <t>Sneaky Pete</t>
  </si>
  <si>
    <t>tt5011816</t>
  </si>
  <si>
    <t>64199</t>
  </si>
  <si>
    <t>identity-deception-and-family</t>
  </si>
  <si>
    <t>con-artist-drama; family-drama; crime-thriller</t>
  </si>
  <si>
    <t>twisty; tense; witty; character-driven</t>
  </si>
  <si>
    <t>https://www.imdb.com/title/tt5011816/</t>
  </si>
  <si>
    <t>https://www.themoviedb.org/search?query=Sneaky%20Pete%202015</t>
  </si>
  <si>
    <t>Identity deception and family is the central narrative concern supported by title-specific synopsis and classification sources.</t>
  </si>
  <si>
    <t>show:153657</t>
  </si>
  <si>
    <t>Bosch: Legacy</t>
  </si>
  <si>
    <t>tt14168162</t>
  </si>
  <si>
    <t>153657</t>
  </si>
  <si>
    <t>justice-and-independent-investigation</t>
  </si>
  <si>
    <t>detective-drama; legal-drama; neo-noir</t>
  </si>
  <si>
    <t>https://www.imdb.com/title/tt14168162/</t>
  </si>
  <si>
    <t>https://www.themoviedb.org/search?query=Bosch%3A%20Legacy%202022</t>
  </si>
  <si>
    <t>Justice and independent investigation is the central narrative concern supported by title-specific synopsis and classification sources.</t>
  </si>
  <si>
    <t>show:66676</t>
  </si>
  <si>
    <t>Queen of the South</t>
  </si>
  <si>
    <t>tt1064899</t>
  </si>
  <si>
    <t>66676</t>
  </si>
  <si>
    <t>drug-empire-and-survival</t>
  </si>
  <si>
    <t>drug-crime; gangster; action-drama</t>
  </si>
  <si>
    <t>intense; gritty; suspenseful; character-driven</t>
  </si>
  <si>
    <t>https://www.imdb.com/title/tt1064899/</t>
  </si>
  <si>
    <t>https://www.themoviedb.org/search?query=Queen%20of%20the%20South%202016</t>
  </si>
  <si>
    <t>Drug empire and survival is the central narrative concern supported by title-specific synopsis and classification sources.</t>
  </si>
  <si>
    <t>show:71715</t>
  </si>
  <si>
    <t>Good Girls</t>
  </si>
  <si>
    <t>tt6474378</t>
  </si>
  <si>
    <t>71715</t>
  </si>
  <si>
    <t>financial-desperation-and-crime</t>
  </si>
  <si>
    <t>crime-comedy; family-drama; heist-comedy</t>
  </si>
  <si>
    <t>darkly-comic; tense; witty; character-driven</t>
  </si>
  <si>
    <t>https://www.imdb.com/title/tt6474378/</t>
  </si>
  <si>
    <t>https://www.themoviedb.org/search?query=Good%20Girls%202018</t>
  </si>
  <si>
    <t>Financial desperation and crime is the central narrative concern supported by title-specific synopsis and classification sources.</t>
  </si>
  <si>
    <t>Batch 13</t>
  </si>
  <si>
    <t>show:62620</t>
  </si>
  <si>
    <t>No Offence</t>
  </si>
  <si>
    <t>tt3922704</t>
  </si>
  <si>
    <t>62620</t>
  </si>
  <si>
    <t>policing-and-social-dysfunction</t>
  </si>
  <si>
    <t>police-procedural; dark-comedy; ensemble-drama</t>
  </si>
  <si>
    <t>witty; gritty; irreverent; suspenseful</t>
  </si>
  <si>
    <t>https://www.imdb.com/title/tt3922704/</t>
  </si>
  <si>
    <t>https://www.themoviedb.org/search?query=No%20Offence%202015</t>
  </si>
  <si>
    <t>Policing and social dysfunction is the central narrative concern supported by title-specific synopsis and classification sources.</t>
  </si>
  <si>
    <t>show:68421</t>
  </si>
  <si>
    <t>Altered Carbon</t>
  </si>
  <si>
    <t>tt2261227</t>
  </si>
  <si>
    <t>68421</t>
  </si>
  <si>
    <t>identity-and-immortality</t>
  </si>
  <si>
    <t>cyberpunk; neo-noir; mystery-thriller</t>
  </si>
  <si>
    <t>stylish; cerebral; dark; atmospheric</t>
  </si>
  <si>
    <t>https://www.imdb.com/title/tt2261227/</t>
  </si>
  <si>
    <t>https://www.themoviedb.org/search?query=Altered%20Carbon%202018</t>
  </si>
  <si>
    <t>Identity and immortality is the central narrative concern supported by title-specific synopsis and classification sources.</t>
  </si>
  <si>
    <t>show:1705</t>
  </si>
  <si>
    <t>Fringe</t>
  </si>
  <si>
    <t>tt1119644</t>
  </si>
  <si>
    <t>1705</t>
  </si>
  <si>
    <t>science-and-paranormal-investigation</t>
  </si>
  <si>
    <t>procedural; alternate-universe; conspiracy-drama</t>
  </si>
  <si>
    <t>cerebral; mysterious; suspenseful; emotional</t>
  </si>
  <si>
    <t>https://www.imdb.com/title/tt1119644/</t>
  </si>
  <si>
    <t>https://www.themoviedb.org/search?query=Fringe%202008</t>
  </si>
  <si>
    <t>Science and paranormal investigation is the central narrative concern supported by title-specific synopsis and classification sources.</t>
  </si>
  <si>
    <t>show:119845</t>
  </si>
  <si>
    <t>Power Book IV: Force</t>
  </si>
  <si>
    <t>tt11761194</t>
  </si>
  <si>
    <t>119845</t>
  </si>
  <si>
    <t>criminal-expansion-and-power</t>
  </si>
  <si>
    <t>drug-crime; gangster; urban-crime</t>
  </si>
  <si>
    <t>gritty; intense; suspenseful; fast-paced</t>
  </si>
  <si>
    <t>https://www.imdb.com/title/tt11761194/</t>
  </si>
  <si>
    <t>https://www.themoviedb.org/search?query=Power%20Book%20IV%3A%20Force%202022</t>
  </si>
  <si>
    <t>Criminal expansion and power is the central narrative concern supported by title-specific synopsis and classification sources.</t>
  </si>
  <si>
    <t>show:194</t>
  </si>
  <si>
    <t>NYPD Blue</t>
  </si>
  <si>
    <t>tt0106079</t>
  </si>
  <si>
    <t>194</t>
  </si>
  <si>
    <t>policing-and-personal-struggle</t>
  </si>
  <si>
    <t>police-procedural; workplace-drama; ensemble-drama</t>
  </si>
  <si>
    <t>gritty; realistic; character-driven; intense</t>
  </si>
  <si>
    <t>https://www.imdb.com/title/tt0106079/</t>
  </si>
  <si>
    <t>https://www.themoviedb.org/search?query=NYPD%20Blue%201993</t>
  </si>
  <si>
    <t>Policing and personal struggle is the central narrative concern supported by title-specific synopsis and classification sources.</t>
  </si>
  <si>
    <t>movie:307081</t>
  </si>
  <si>
    <t>Southpaw</t>
  </si>
  <si>
    <t>tt1798684</t>
  </si>
  <si>
    <t>307081</t>
  </si>
  <si>
    <t>grief-and-boxing-redemption</t>
  </si>
  <si>
    <t>boxing-drama; family-drama; comeback-drama</t>
  </si>
  <si>
    <t>intense; emotional; gritty; inspirational</t>
  </si>
  <si>
    <t>https://www.imdb.com/title/tt1798684/</t>
  </si>
  <si>
    <t>https://www.themoviedb.org/search?query=Southpaw%202015</t>
  </si>
  <si>
    <t>Grief and boxing redemption is the central narrative concern supported by title-specific synopsis and classification sources.</t>
  </si>
  <si>
    <t>movie:878361</t>
  </si>
  <si>
    <t>Big George Foreman</t>
  </si>
  <si>
    <t>tt12226632</t>
  </si>
  <si>
    <t>878361</t>
  </si>
  <si>
    <t>faith-and-athletic-comeback</t>
  </si>
  <si>
    <t>boxing-drama; sports-biography; inspirational-drama</t>
  </si>
  <si>
    <t>inspirational; heartfelt; uplifting; determined</t>
  </si>
  <si>
    <t>https://www.imdb.com/title/tt12226632/</t>
  </si>
  <si>
    <t>https://www.themoviedb.org/search?query=Big%20George%20Foreman%202023</t>
  </si>
  <si>
    <t>Faith and athletic comeback is the central narrative concern supported by title-specific synopsis and classification sources.</t>
  </si>
  <si>
    <t>movie:332979</t>
  </si>
  <si>
    <t>Bleed for This</t>
  </si>
  <si>
    <t>tt1620935</t>
  </si>
  <si>
    <t>332979</t>
  </si>
  <si>
    <t>recovery-and-athletic-perseverance</t>
  </si>
  <si>
    <t>boxing-drama; biography; comeback-drama</t>
  </si>
  <si>
    <t>gritty; inspirational; intense; determined</t>
  </si>
  <si>
    <t>https://www.imdb.com/title/tt1620935/</t>
  </si>
  <si>
    <t>https://www.themoviedb.org/search?query=Bleed%20for%20This%202016</t>
  </si>
  <si>
    <t>Recovery and athletic perseverance is the central narrative concern supported by title-specific synopsis and classification sources.</t>
  </si>
  <si>
    <t>movie:601666</t>
  </si>
  <si>
    <t>I Care a Lot</t>
  </si>
  <si>
    <t>tt9893250</t>
  </si>
  <si>
    <t>601666</t>
  </si>
  <si>
    <t>elder-exploitation-and-greed</t>
  </si>
  <si>
    <t>black-comedy; crime-thriller; social-satire</t>
  </si>
  <si>
    <t>darkly-comic; cynical; tense; stylish</t>
  </si>
  <si>
    <t>https://www.imdb.com/title/tt9893250/</t>
  </si>
  <si>
    <t>https://www.themoviedb.org/search?query=I%20Care%20a%20Lot%202021</t>
  </si>
  <si>
    <t>Elder exploitation and greed is the central narrative concern supported by title-specific synopsis and classification sources.</t>
  </si>
  <si>
    <t>movie:193756</t>
  </si>
  <si>
    <t>Lone Survivor</t>
  </si>
  <si>
    <t>tt1091191</t>
  </si>
  <si>
    <t>193756</t>
  </si>
  <si>
    <t>combat-survival-and-brotherhood</t>
  </si>
  <si>
    <t>military-drama; survival-drama; docudrama</t>
  </si>
  <si>
    <t>intense; harrowing; gritty; emotional</t>
  </si>
  <si>
    <t>https://www.imdb.com/title/tt1091191/</t>
  </si>
  <si>
    <t>https://www.themoviedb.org/search?query=Lone%20Survivor%202013</t>
  </si>
  <si>
    <t>Combat survival and brotherhood is the central narrative concern supported by title-specific synopsis and classification sources.</t>
  </si>
  <si>
    <t>movie:531876</t>
  </si>
  <si>
    <t>The Outpost</t>
  </si>
  <si>
    <t>tt3833480</t>
  </si>
  <si>
    <t>531876</t>
  </si>
  <si>
    <t>combat-duty-and-survival</t>
  </si>
  <si>
    <t>military-drama; siege-film; docudrama</t>
  </si>
  <si>
    <t>intense; immersive; heroic; harrowing</t>
  </si>
  <si>
    <t>https://www.imdb.com/title/tt3833480/</t>
  </si>
  <si>
    <t>https://www.themoviedb.org/search?query=The%20Outpost%202020</t>
  </si>
  <si>
    <t>Combat duty and survival is the central narrative concern supported by title-specific synopsis and classification sources.</t>
  </si>
  <si>
    <t>movie:475132</t>
  </si>
  <si>
    <t>A Private War</t>
  </si>
  <si>
    <t>tt2368254</t>
  </si>
  <si>
    <t>475132</t>
  </si>
  <si>
    <t>war-journalism-and-sacrifice</t>
  </si>
  <si>
    <t>war-drama; journalism-drama; biographical-drama</t>
  </si>
  <si>
    <t>intense; somber; courageous; character-driven</t>
  </si>
  <si>
    <t>https://www.imdb.com/title/tt2368254/</t>
  </si>
  <si>
    <t>https://www.themoviedb.org/search?query=A%20Private%20War%202018</t>
  </si>
  <si>
    <t>War journalism and sacrifice is the central narrative concern supported by title-specific synopsis and classification sources.</t>
  </si>
  <si>
    <t>movie:9567</t>
  </si>
  <si>
    <t>Tears of the Sun</t>
  </si>
  <si>
    <t>tt0314353</t>
  </si>
  <si>
    <t>9567</t>
  </si>
  <si>
    <t>military-duty-and-humanitarian-rescue</t>
  </si>
  <si>
    <t>military-drama; rescue-mission; action-drama</t>
  </si>
  <si>
    <t>intense; somber; heroic; suspenseful</t>
  </si>
  <si>
    <t>https://www.imdb.com/title/tt0314353/</t>
  </si>
  <si>
    <t>https://www.themoviedb.org/search?query=Tears%20of%20the%20Sun%202003</t>
  </si>
  <si>
    <t>Military duty and humanitarian rescue is the central narrative concern supported by title-specific synopsis and classification sources.</t>
  </si>
  <si>
    <t>movie:395991</t>
  </si>
  <si>
    <t>Only the Brave</t>
  </si>
  <si>
    <t>tt3829920</t>
  </si>
  <si>
    <t>395991</t>
  </si>
  <si>
    <t>wildfire-service-and-sacrifice</t>
  </si>
  <si>
    <t>disaster-drama; biographical-drama; team-drama</t>
  </si>
  <si>
    <t>heroic; emotional; intense; inspirational</t>
  </si>
  <si>
    <t>https://www.imdb.com/title/tt3829920/</t>
  </si>
  <si>
    <t>https://www.themoviedb.org/search?query=Only%20the%20Brave%202017</t>
  </si>
  <si>
    <t>Wildfire service and sacrifice is the central narrative concern supported by title-specific synopsis and classification sources.</t>
  </si>
  <si>
    <t>movie:578189</t>
  </si>
  <si>
    <t>Black and Blue</t>
  </si>
  <si>
    <t>tt7390646</t>
  </si>
  <si>
    <t>578189</t>
  </si>
  <si>
    <t>police-corruption-and-witness-survival</t>
  </si>
  <si>
    <t>police-thriller; action-thriller; conspiracy-drama</t>
  </si>
  <si>
    <t>https://www.imdb.com/title/tt7390646/</t>
  </si>
  <si>
    <t>https://www.themoviedb.org/search?query=Black%20and%20Blue%202019</t>
  </si>
  <si>
    <t>Police corruption and witness survival is the central narrative concern supported by title-specific synopsis and classification sources.</t>
  </si>
  <si>
    <t>movie:23168</t>
  </si>
  <si>
    <t>The Town</t>
  </si>
  <si>
    <t>tt0840361</t>
  </si>
  <si>
    <t>23168</t>
  </si>
  <si>
    <t>crime-loyalty-and-escape</t>
  </si>
  <si>
    <t>heist-film; romantic-thriller; urban-crime</t>
  </si>
  <si>
    <t>https://www.imdb.com/title/tt0840361/</t>
  </si>
  <si>
    <t>https://www.themoviedb.org/search?query=The%20Town%202010</t>
  </si>
  <si>
    <t>Crime loyalty and escape is the central narrative concern supported by title-specific synopsis and classification sources.</t>
  </si>
  <si>
    <t>movie:340613</t>
  </si>
  <si>
    <t>The Wife</t>
  </si>
  <si>
    <t>tt3750872</t>
  </si>
  <si>
    <t>340613</t>
  </si>
  <si>
    <t>marital-sacrifice-and-authorship</t>
  </si>
  <si>
    <t>marriage-drama; literary-drama; character-study</t>
  </si>
  <si>
    <t>restrained; intimate; tense; reflective</t>
  </si>
  <si>
    <t>https://www.imdb.com/title/tt3750872/</t>
  </si>
  <si>
    <t>https://www.themoviedb.org/search?query=The%20Wife%202017</t>
  </si>
  <si>
    <t>Marital sacrifice and authorship is the central narrative concern supported by title-specific synopsis and classification sources.</t>
  </si>
  <si>
    <t>movie:402897</t>
  </si>
  <si>
    <t>The Death of Stalin</t>
  </si>
  <si>
    <t>tt4686844</t>
  </si>
  <si>
    <t>402897</t>
  </si>
  <si>
    <t>authoritarian-succession-and-absurdity</t>
  </si>
  <si>
    <t>political-satire; black-comedy; historical-comedy</t>
  </si>
  <si>
    <t>satirical; absurd; darkly-comic; fast-paced</t>
  </si>
  <si>
    <t>https://www.imdb.com/title/tt4686844/</t>
  </si>
  <si>
    <t>https://www.themoviedb.org/search?query=The%20Death%20of%20Stalin%202017</t>
  </si>
  <si>
    <t>Authoritarian succession and absurdity is the central narrative concern supported by title-specific synopsis and classification sources.</t>
  </si>
  <si>
    <t>movie:19913</t>
  </si>
  <si>
    <t>(500) Days of Summer</t>
  </si>
  <si>
    <t>tt1022603</t>
  </si>
  <si>
    <t>19913</t>
  </si>
  <si>
    <t>romantic-expectation-and-memory</t>
  </si>
  <si>
    <t>romantic-comedy; nonlinear-romance; character-study</t>
  </si>
  <si>
    <t>witty; bittersweet; playful; reflective</t>
  </si>
  <si>
    <t>https://www.imdb.com/title/tt1022603/</t>
  </si>
  <si>
    <t>https://www.themoviedb.org/search?query=%28500%29%20Days%20of%20Summer%202009</t>
  </si>
  <si>
    <t>Romantic expectation and memory is the central narrative concern supported by title-specific synopsis and classification sources.</t>
  </si>
  <si>
    <t>movie:627725</t>
  </si>
  <si>
    <t>The Banker</t>
  </si>
  <si>
    <t>tt6285944</t>
  </si>
  <si>
    <t>627725</t>
  </si>
  <si>
    <t>racial-barriers-and-financial-ambition</t>
  </si>
  <si>
    <t>business-drama; historical-drama; biographical-drama</t>
  </si>
  <si>
    <t>inspirational; tense; polished; character-driven</t>
  </si>
  <si>
    <t>https://www.imdb.com/title/tt6285944/</t>
  </si>
  <si>
    <t>https://www.themoviedb.org/search?query=The%20Banker%202020</t>
  </si>
  <si>
    <t>Racial barriers and financial ambition is the central narrative concern supported by title-specific synopsis and classification sources.</t>
  </si>
  <si>
    <t>show:207334</t>
  </si>
  <si>
    <t>The Veil</t>
  </si>
  <si>
    <t>tt21433150</t>
  </si>
  <si>
    <t>207334</t>
  </si>
  <si>
    <t>espionage-and-deception</t>
  </si>
  <si>
    <t>spy-thriller; psychological-drama; road-thriller</t>
  </si>
  <si>
    <t>https://www.imdb.com/title/tt21433150/</t>
  </si>
  <si>
    <t>https://www.themoviedb.org/search?query=The%20Veil%202024</t>
  </si>
  <si>
    <t>Espionage and deception is the central narrative concern supported by title-specific synopsis and classification sources.</t>
  </si>
  <si>
    <t>show:67883</t>
  </si>
  <si>
    <t>Insecure</t>
  </si>
  <si>
    <t>tt5024912</t>
  </si>
  <si>
    <t>67883</t>
  </si>
  <si>
    <t>friendship-and-adult-identity</t>
  </si>
  <si>
    <t>witty; candid; warm; character-driven</t>
  </si>
  <si>
    <t>https://www.imdb.com/title/tt5024912/</t>
  </si>
  <si>
    <t>https://www.themoviedb.org/search?query=Insecure%202016</t>
  </si>
  <si>
    <t>Friendship and adult identity is the central narrative concern supported by title-specific synopsis and classification sources.</t>
  </si>
  <si>
    <t>show:693</t>
  </si>
  <si>
    <t>Desperate Housewives</t>
  </si>
  <si>
    <t>tt0410975</t>
  </si>
  <si>
    <t>693</t>
  </si>
  <si>
    <t>suburban-secrets-and-relationships</t>
  </si>
  <si>
    <t>mystery-comedy; soap-opera; ensemble-drama</t>
  </si>
  <si>
    <t>witty; twisty; satirical; dramatic</t>
  </si>
  <si>
    <t>https://www.imdb.com/title/tt0410975/</t>
  </si>
  <si>
    <t>https://www.themoviedb.org/search?query=Desperate%20Housewives%202004</t>
  </si>
  <si>
    <t>Suburban secrets and relationships is the central narrative concern supported by title-specific synopsis and classification sources.</t>
  </si>
  <si>
    <t>show:245219</t>
  </si>
  <si>
    <t>Death by Lightning</t>
  </si>
  <si>
    <t>tt31121364</t>
  </si>
  <si>
    <t>245219</t>
  </si>
  <si>
    <t>political-reform-and-assassination</t>
  </si>
  <si>
    <t>historical-drama; political-drama; biographical-drama</t>
  </si>
  <si>
    <t>tragic; cerebral; tense; darkly-comic</t>
  </si>
  <si>
    <t>https://www.imdb.com/title/tt31121364/</t>
  </si>
  <si>
    <t>https://www.themoviedb.org/search?query=Death%20by%20Lightning%202025</t>
  </si>
  <si>
    <t>Political reform and assassination is the central narrative concern supported by title-specific synopsis and classification sources.</t>
  </si>
  <si>
    <t>show:81290</t>
  </si>
  <si>
    <t>The Kominsky Method</t>
  </si>
  <si>
    <t>tt7255502</t>
  </si>
  <si>
    <t>81290</t>
  </si>
  <si>
    <t>aging-friendship-and-loss</t>
  </si>
  <si>
    <t>dramedy; friendship-comedy; show-business-comedy</t>
  </si>
  <si>
    <t>witty; warm; melancholic; character-driven</t>
  </si>
  <si>
    <t>https://www.imdb.com/title/tt7255502/</t>
  </si>
  <si>
    <t>https://www.themoviedb.org/search?query=The%20Kominsky%20Method%202018</t>
  </si>
  <si>
    <t>Aging friendship and loss is the central narrative concern supported by title-specific synopsis and classification sources.</t>
  </si>
  <si>
    <t>show:62117</t>
  </si>
  <si>
    <t>Younger</t>
  </si>
  <si>
    <t>tt3288518</t>
  </si>
  <si>
    <t>62117</t>
  </si>
  <si>
    <t>career-reinvention-and-age-deception</t>
  </si>
  <si>
    <t>workplace-comedy; romantic-comedy; city-comedy</t>
  </si>
  <si>
    <t>lighthearted; witty; stylish; warm</t>
  </si>
  <si>
    <t>https://www.imdb.com/title/tt3288518/</t>
  </si>
  <si>
    <t>https://www.themoviedb.org/search?query=Younger%202015</t>
  </si>
  <si>
    <t>Career reinvention and age deception is the central narrative concern supported by title-specific synopsis and classification sources.</t>
  </si>
  <si>
    <t>show:95341</t>
  </si>
  <si>
    <t>Shantaram</t>
  </si>
  <si>
    <t>tt0429087</t>
  </si>
  <si>
    <t>95341</t>
  </si>
  <si>
    <t>fugitive-reinvention-and-redemption</t>
  </si>
  <si>
    <t>crime-drama; adventure-drama; romantic-drama</t>
  </si>
  <si>
    <t>sweeping; tense; atmospheric; character-driven</t>
  </si>
  <si>
    <t>https://www.imdb.com/title/tt0429087/</t>
  </si>
  <si>
    <t>https://www.themoviedb.org/search?query=Shantaram%202022</t>
  </si>
  <si>
    <t>Fugitive reinvention and redemption is the central narrative concern supported by title-specific synopsis and classification sources.</t>
  </si>
  <si>
    <t>show:2204</t>
  </si>
  <si>
    <t>Brotherhood</t>
  </si>
  <si>
    <t>tt0457229</t>
  </si>
  <si>
    <t>2204</t>
  </si>
  <si>
    <t>politics-crime-and-family-loyalty</t>
  </si>
  <si>
    <t>political-drama; family-drama; gangster</t>
  </si>
  <si>
    <t>gritty; tense; character-driven; dark</t>
  </si>
  <si>
    <t>https://www.imdb.com/title/tt0457229/</t>
  </si>
  <si>
    <t>https://www.themoviedb.org/search?query=Brotherhood%202006</t>
  </si>
  <si>
    <t>Politics crime and family loyalty is the central narrative concern supported by title-specific synopsis and classification sources.</t>
  </si>
  <si>
    <t>show:225634</t>
  </si>
  <si>
    <t>Monsters: The Lyle and Erik Menendez Story</t>
  </si>
  <si>
    <t>225634</t>
  </si>
  <si>
    <t>family-abuse-and-parricide</t>
  </si>
  <si>
    <t>true-crime; courtroom-drama; family-drama</t>
  </si>
  <si>
    <t>disturbing; intense; provocative; somber</t>
  </si>
  <si>
    <t>https://www.imdb.com/find/?q=Monsters%3A%20The%20Lyle%20and%20Erik%20Menendez%20Story</t>
  </si>
  <si>
    <t>https://www.themoviedb.org/search?query=Monsters%3A%20The%20Lyle%20and%20Erik%20Menendez%20Story%202024</t>
  </si>
  <si>
    <t>Family abuse and parricide is the central narrative concern supported by title-specific synopsis and classification sources.</t>
  </si>
  <si>
    <t>show:1908</t>
  </si>
  <si>
    <t>Miami Vice</t>
  </si>
  <si>
    <t>1984</t>
  </si>
  <si>
    <t>tt0086759</t>
  </si>
  <si>
    <t>1908</t>
  </si>
  <si>
    <t>undercover-policing-and-drug-crime</t>
  </si>
  <si>
    <t>police-procedural; undercover-drama; neo-noir</t>
  </si>
  <si>
    <t>stylish; atmospheric; gritty; suspenseful</t>
  </si>
  <si>
    <t>https://www.imdb.com/title/tt0086759/</t>
  </si>
  <si>
    <t>https://www.themoviedb.org/search?query=Miami%20Vice%201984</t>
  </si>
  <si>
    <t>Undercover policing and drug crime is the central narrative concern supported by title-specific synopsis and classification sources.</t>
  </si>
  <si>
    <t>show:259731</t>
  </si>
  <si>
    <t>HIS &amp; HERS</t>
  </si>
  <si>
    <t>tt33035373</t>
  </si>
  <si>
    <t>259731</t>
  </si>
  <si>
    <t>conflicting-perspectives-and-murder</t>
  </si>
  <si>
    <t>twisty; tense; suspenseful; atmospheric</t>
  </si>
  <si>
    <t>https://www.imdb.com/title/tt33035373/</t>
  </si>
  <si>
    <t>https://www.themoviedb.org/search?query=HIS%20%26%20HERS%202026</t>
  </si>
  <si>
    <t>Conflicting perspectives and murder is the central narrative concern supported by title-specific synopsis and classification sources.</t>
  </si>
  <si>
    <t>show:2933</t>
  </si>
  <si>
    <t>The Riches</t>
  </si>
  <si>
    <t>tt0496343</t>
  </si>
  <si>
    <t>2933</t>
  </si>
  <si>
    <t>identity-fraud-and-family-survival</t>
  </si>
  <si>
    <t>con-artist-drama; family-drama; dark-comedy</t>
  </si>
  <si>
    <t>tense; offbeat; character-driven; satirical</t>
  </si>
  <si>
    <t>https://www.imdb.com/title/tt0496343/</t>
  </si>
  <si>
    <t>https://www.themoviedb.org/search?query=The%20Riches%202007</t>
  </si>
  <si>
    <t>Identity fraud and family survival is the central narrative concern supported by title-specific synopsis and classification sources.</t>
  </si>
  <si>
    <t>show:262388</t>
  </si>
  <si>
    <t>M.I.A.</t>
  </si>
  <si>
    <t>tt33253070</t>
  </si>
  <si>
    <t>262388</t>
  </si>
  <si>
    <t>missing-person-investigation</t>
  </si>
  <si>
    <t>crime-thriller; mystery-drama; conspiracy-thriller</t>
  </si>
  <si>
    <t>suspenseful; tense; twisty; fast-paced</t>
  </si>
  <si>
    <t>https://www.imdb.com/title/tt33253070/</t>
  </si>
  <si>
    <t>https://www.themoviedb.org/search?query=M.I.A.%202026</t>
  </si>
  <si>
    <t>Missing person investigation is the central narrative concern supported by title-specific synopsis and classification sources.</t>
  </si>
  <si>
    <t>show:93166</t>
  </si>
  <si>
    <t>The Capture</t>
  </si>
  <si>
    <t>tt8201186</t>
  </si>
  <si>
    <t>93166</t>
  </si>
  <si>
    <t>surveillance-manipulation-and-truth</t>
  </si>
  <si>
    <t>conspiracy-thriller; techno-thriller; political-thriller</t>
  </si>
  <si>
    <t>paranoid; tense; cerebral; suspenseful</t>
  </si>
  <si>
    <t>https://www.imdb.com/title/tt8201186/</t>
  </si>
  <si>
    <t>https://www.themoviedb.org/search?query=The%20Capture%202019</t>
  </si>
  <si>
    <t>Surveillance manipulation and truth is the central narrative concern supported by title-specific synopsis and classification sources.</t>
  </si>
  <si>
    <t>show:256317</t>
  </si>
  <si>
    <t>Countdown</t>
  </si>
  <si>
    <t>tt32559610</t>
  </si>
  <si>
    <t>256317</t>
  </si>
  <si>
    <t>serial-killer-pursuit</t>
  </si>
  <si>
    <t>police-procedural; serial-killer-thriller; ensemble-drama</t>
  </si>
  <si>
    <t>tense; suspenseful; fast-paced; gritty</t>
  </si>
  <si>
    <t>https://www.imdb.com/title/tt32559610/</t>
  </si>
  <si>
    <t>https://www.themoviedb.org/search?query=Countdown%202025</t>
  </si>
  <si>
    <t>Serial killer pursuit is the central narrative concern supported by title-specific synopsis and classification sources.</t>
  </si>
  <si>
    <t>show:900</t>
  </si>
  <si>
    <t>Skins</t>
  </si>
  <si>
    <t>tt0840196</t>
  </si>
  <si>
    <t>900</t>
  </si>
  <si>
    <t>adolescent-identity-and-self-destruction</t>
  </si>
  <si>
    <t>teen-drama; coming-of-age; ensemble-drama</t>
  </si>
  <si>
    <t>raw; provocative; emotional; chaotic</t>
  </si>
  <si>
    <t>https://www.imdb.com/title/tt0840196/</t>
  </si>
  <si>
    <t>https://www.themoviedb.org/search?query=Skins%202007</t>
  </si>
  <si>
    <t>Adolescent identity and self destruction is the central narrative concern supported by title-specific synopsis and classification sources.</t>
  </si>
  <si>
    <t>show:40008</t>
  </si>
  <si>
    <t>Hannibal</t>
  </si>
  <si>
    <t>tt2243973</t>
  </si>
  <si>
    <t>40008</t>
  </si>
  <si>
    <t>dark; intense; character-driven; slow-burn</t>
  </si>
  <si>
    <t>https://www.imdb.com/title/tt2243973/</t>
  </si>
  <si>
    <t>https://www.themoviedb.org/search?query=Hannibal%202013</t>
  </si>
  <si>
    <t>Both a gift and a curse, Graham has the extraordinary ability to think like his prey—he sees what they see, feels what they feel. But while Graham is pursuing an especially troubling, cannibalistic murderer, Special Agent Jack Crawford teams him with a highly respected psychiatrist – a man with a taste for the criminal minded – Dr. Hannibal Lecter.</t>
  </si>
  <si>
    <t>show:71769</t>
  </si>
  <si>
    <t>The Alienist</t>
  </si>
  <si>
    <t>tt4604612</t>
  </si>
  <si>
    <t>71769</t>
  </si>
  <si>
    <t>historical; procedural; psychological-thriller</t>
  </si>
  <si>
    <t>https://www.imdb.com/title/tt4604612/</t>
  </si>
  <si>
    <t>https://www.themoviedb.org/search?query=The%20Alienist%202018</t>
  </si>
  <si>
    <t>New York, 1896. Police commissioner Theodore Roosevelt brings together criminal psychologist Dr. Laszlo Kreizler, newspaper illustrator John Moore and secretary Sara Howard to investigate several murders of male prostitutes.</t>
  </si>
  <si>
    <t>show:1412</t>
  </si>
  <si>
    <t>Arrow</t>
  </si>
  <si>
    <t>tt2193021</t>
  </si>
  <si>
    <t>1412</t>
  </si>
  <si>
    <t>corporate-power</t>
  </si>
  <si>
    <t>https://www.imdb.com/title/tt2193021/</t>
  </si>
  <si>
    <t>https://www.themoviedb.org/search?query=Arrow%202012</t>
  </si>
  <si>
    <t>Spoiled billionaire playboy Oliver Queen is missing and presumed dead when his yacht is lost at sea. He returns five years later a changed man, determined to clean up the city as a hooded vigilante armed with a bow.</t>
  </si>
  <si>
    <t>show:75450</t>
  </si>
  <si>
    <t>Titans</t>
  </si>
  <si>
    <t>tt1043813</t>
  </si>
  <si>
    <t>75450</t>
  </si>
  <si>
    <t>https://www.imdb.com/title/tt1043813/</t>
  </si>
  <si>
    <t>https://www.themoviedb.org/search?query=Titans%202018</t>
  </si>
  <si>
    <t>A team of young superheroes led by Nightwing (formerly Batman's first Robin) form to combat evil and other perils.</t>
  </si>
  <si>
    <t>show:199318</t>
  </si>
  <si>
    <t>Bad Sisters</t>
  </si>
  <si>
    <t>tt15469618</t>
  </si>
  <si>
    <t>199318</t>
  </si>
  <si>
    <t>dark; witty; character-driven; twisty</t>
  </si>
  <si>
    <t>https://www.imdb.com/title/tt15469618/</t>
  </si>
  <si>
    <t>https://www.themoviedb.org/search?query=Bad%20Sisters%202022</t>
  </si>
  <si>
    <t>The tight-knit Garvey sisters have always looked out for one another. But when the toxic brother-in-law they all wanted dead actually dies, it turns their lives upside down and tests their bond like nothing before.</t>
  </si>
  <si>
    <t>show:2691</t>
  </si>
  <si>
    <t>Two and a Half Men</t>
  </si>
  <si>
    <t>tt0369179</t>
  </si>
  <si>
    <t>2691</t>
  </si>
  <si>
    <t>family-drama</t>
  </si>
  <si>
    <t>witty; hilarious; character-driven; offbeat</t>
  </si>
  <si>
    <t>https://www.imdb.com/title/tt0369179/</t>
  </si>
  <si>
    <t>https://www.themoviedb.org/search?query=Two%20and%20a%20Half%20Men%202003</t>
  </si>
  <si>
    <t>A hedonistic jingle writer's free-wheeling life comes to an abrupt halt when his brother and 10-year-old nephew move into his beach-front house.</t>
  </si>
  <si>
    <t>show:69630</t>
  </si>
  <si>
    <t>The Bold Type</t>
  </si>
  <si>
    <t>tt6116060</t>
  </si>
  <si>
    <t>69630</t>
  </si>
  <si>
    <t>workplace-comedy; coming-of-age</t>
  </si>
  <si>
    <t>https://www.imdb.com/title/tt6116060/</t>
  </si>
  <si>
    <t>https://www.themoviedb.org/search?query=The%20Bold%20Type%202017</t>
  </si>
  <si>
    <t>A glimpse into the outrageous lives of Jane, Kat and Sutton, who are working at the nation's top women's magazine, Scarlet, while navigating their careers, identities and individual voices.</t>
  </si>
  <si>
    <t>show:85385</t>
  </si>
  <si>
    <t>L.A.'s Finest</t>
  </si>
  <si>
    <t>tt7555294</t>
  </si>
  <si>
    <t>85385</t>
  </si>
  <si>
    <t>https://www.imdb.com/title/tt7555294/</t>
  </si>
  <si>
    <t>https://www.themoviedb.org/search?query=L.A.%27s%20Finest%202019</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</si>
  <si>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</si>
  <si>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show:79618</t>
  </si>
  <si>
    <t>City on a Hill</t>
  </si>
  <si>
    <t>tt7187044</t>
  </si>
  <si>
    <t>79618</t>
  </si>
  <si>
    <t>https://www.imdb.com/title/tt7187044/</t>
  </si>
  <si>
    <t>https://www.themoviedb.org/search?query=City%20on%20a%20Hill%202019</t>
  </si>
  <si>
    <t>In early 90s Boston, an African-American District Attorney comes in from Brooklyn advocating change and forms an unlikely alliance with a corrupt yet venerated FBI veteran invested in maintaining the status quo. Together they take on a family of armored car robbers from Charlestown in a case that grows to encompass and eventually upend Boston’s city-wide criminal justice system.</t>
  </si>
  <si>
    <t>show:1639</t>
  </si>
  <si>
    <t>Heroes</t>
  </si>
  <si>
    <t>tt0813715</t>
  </si>
  <si>
    <t>1639</t>
  </si>
  <si>
    <t>intense; suspenseful; character-driven; twisty</t>
  </si>
  <si>
    <t>https://www.imdb.com/title/tt0813715/</t>
  </si>
  <si>
    <t>https://www.themoviedb.org/search?query=Heroes%202006</t>
  </si>
  <si>
    <t>Common people discover that they have super powers. Their lives intertwine as a devastating event must be prevented.</t>
  </si>
  <si>
    <t>show:3476</t>
  </si>
  <si>
    <t>Inspector Morse</t>
  </si>
  <si>
    <t>1987</t>
  </si>
  <si>
    <t>tt0092379</t>
  </si>
  <si>
    <t>3476</t>
  </si>
  <si>
    <t>procedural; crime-drama</t>
  </si>
  <si>
    <t>character-driven; slow-burn; thoughtful; melancholy</t>
  </si>
  <si>
    <t>https://www.imdb.com/title/tt0092379/</t>
  </si>
  <si>
    <t>https://www.themoviedb.org/search?query=Inspector%20Morse%201987</t>
  </si>
  <si>
    <t>Inspector Morse is a detective drama based on Colin Dexter's series of Chief Inspector Morse novels. The series starred John Thaw as Chief Inspector Morse and Kevin Whately as Sergeant Lewis, as well as a large cast of notable actors and actresses.</t>
  </si>
  <si>
    <t>movie:2295</t>
  </si>
  <si>
    <t>Clerks II</t>
  </si>
  <si>
    <t>tt0424345</t>
  </si>
  <si>
    <t>2295</t>
  </si>
  <si>
    <t>food-hospitality</t>
  </si>
  <si>
    <t>witty; satirical; hilarious; offbeat</t>
  </si>
  <si>
    <t>https://www.imdb.com/title/tt0424345/</t>
  </si>
  <si>
    <t>https://www.themoviedb.org/search?query=Clerks%20II%202006</t>
  </si>
  <si>
    <t>A calamity at Dante and Randall's shops sends them looking for new horizons - but they ultimately settle at Mooby's, a fictional Disney-McDonald's-style fast-food empire.</t>
  </si>
  <si>
    <t>movie:522931</t>
  </si>
  <si>
    <t>Hitman's Wife's Bodyguard</t>
  </si>
  <si>
    <t>tt8385148</t>
  </si>
  <si>
    <t>522931</t>
  </si>
  <si>
    <t>hilarious; witty; intense</t>
  </si>
  <si>
    <t>https://www.imdb.com/title/tt8385148/</t>
  </si>
  <si>
    <t>https://www.themoviedb.org/search?query=Hitman%27s%20Wife%27s%20Bodyguard%202021</t>
  </si>
  <si>
    <t>The world’s most lethal odd couple – bodyguard Michael Bryce and hitman Darius Kincaid –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t>
  </si>
  <si>
    <t>movie:208134</t>
  </si>
  <si>
    <t>Jackass Presents: Bad Grandpa</t>
  </si>
  <si>
    <t>tt3063516</t>
  </si>
  <si>
    <t>208134</t>
  </si>
  <si>
    <t>hilarious; offbeat</t>
  </si>
  <si>
    <t>https://www.imdb.com/title/tt3063516/</t>
  </si>
  <si>
    <t>https://www.themoviedb.org/search?query=Jackass%20Presents%3A%20Bad%20Grandpa%202013</t>
  </si>
  <si>
    <t>86-year-old Irving Zisman is on a journey across America with the most unlikely companion: his 8 year-old grandson, Billy.</t>
  </si>
  <si>
    <t>Batch 14</t>
  </si>
  <si>
    <t>movie:405775</t>
  </si>
  <si>
    <t>The Wall</t>
  </si>
  <si>
    <t>tt4218696</t>
  </si>
  <si>
    <t>405775</t>
  </si>
  <si>
    <t>procedural; war</t>
  </si>
  <si>
    <t>intense; suspenseful; gritty; dark</t>
  </si>
  <si>
    <t>https://www.imdb.com/title/tt4218696/</t>
  </si>
  <si>
    <t>https://www.themoviedb.org/search?query=The%20Wall%202017</t>
  </si>
  <si>
    <t>An American sniper and his spotter engage in a deadly cat-and-mouse game with an Iraqi sniper.</t>
  </si>
  <si>
    <t>movie:315635</t>
  </si>
  <si>
    <t>Spider-Man: Homecoming</t>
  </si>
  <si>
    <t>tt2250912</t>
  </si>
  <si>
    <t>315635</t>
  </si>
  <si>
    <t>coming-of-age; superhero</t>
  </si>
  <si>
    <t>https://www.imdb.com/title/tt2250912/</t>
  </si>
  <si>
    <t>https://www.themoviedb.org/search?query=Spider-Man%3A%20Homecoming%202017</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</si>
  <si>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</si>
  <si>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movie:421473</t>
  </si>
  <si>
    <t>Above Suspicion</t>
  </si>
  <si>
    <t>tt5688068</t>
  </si>
  <si>
    <t>421473</t>
  </si>
  <si>
    <t>procedural; political</t>
  </si>
  <si>
    <t>https://www.imdb.com/title/tt5688068/</t>
  </si>
  <si>
    <t>https://www.themoviedb.org/search?query=Above%20Suspicion%202019</t>
  </si>
  <si>
    <t>The chilling true story of a newly married FBI poster boy assigned to an Appalachian mountain town in Kentucky. There he is drawn into an illicit affair with an impoverished local woman who becomes his star informant. She sees in him her means of escape; instead, it's a ticket to disaster for both of them.</t>
  </si>
  <si>
    <t>movie:345887</t>
  </si>
  <si>
    <t>The Equalizer 2</t>
  </si>
  <si>
    <t>tt3766354</t>
  </si>
  <si>
    <t>345887</t>
  </si>
  <si>
    <t>crime-drama; procedural; psychological-thriller</t>
  </si>
  <si>
    <t>https://www.imdb.com/title/tt3766354/</t>
  </si>
  <si>
    <t>https://www.themoviedb.org/search?query=The%20Equalizer%202%202018</t>
  </si>
  <si>
    <t>Robert McCall, who serves an unflinching justice for the exploited and oppressed, embarks on a relentless, globe-trotting quest for vengeance when his former partner is murdered.</t>
  </si>
  <si>
    <t>movie:997120</t>
  </si>
  <si>
    <t>Sniper: Rogue Mission</t>
  </si>
  <si>
    <t>tt21222434</t>
  </si>
  <si>
    <t>997120</t>
  </si>
  <si>
    <t>intense; gritty; suspenseful; dark</t>
  </si>
  <si>
    <t>https://www.imdb.com/title/tt21222434/</t>
  </si>
  <si>
    <t>https://www.themoviedb.org/search?query=Sniper%3A%20Rogue%20Mission%202022</t>
  </si>
  <si>
    <t>When a crooked federal agent is involved in a human sex trafficking ring, Sniper and CIA Rookie Brandon Beckett goes rogue, teaming up with his former allies Homeland Security Agent Zero and assassin Lady Death to uncover the corrupt agent and take down the criminal organization.</t>
  </si>
  <si>
    <t>movie:811208</t>
  </si>
  <si>
    <t>Fall</t>
  </si>
  <si>
    <t>tt14136398</t>
  </si>
  <si>
    <t>811208</t>
  </si>
  <si>
    <t>musical</t>
  </si>
  <si>
    <t>character-driven; melancholy</t>
  </si>
  <si>
    <t>https://www.imdb.com/title/tt14136398/</t>
  </si>
  <si>
    <t>https://www.themoviedb.org/search?query=Fall%202020</t>
  </si>
  <si>
    <t>Soghoot (سقوط) A music Video By Amir Tabari</t>
  </si>
  <si>
    <t>movie:24804</t>
  </si>
  <si>
    <t>Black Dynamite</t>
  </si>
  <si>
    <t>tt1190536</t>
  </si>
  <si>
    <t>24804</t>
  </si>
  <si>
    <t>https://www.imdb.com/title/tt1190536/</t>
  </si>
  <si>
    <t>https://www.themoviedb.org/search?query=Black%20Dynamite%202009</t>
  </si>
  <si>
    <t>This is the story of 1970s African-American action legend Black Dynamite. The Man killed his brother, pumped heroin into local orphanages, and flooded the ghetto with adulterated malt liquor. Black Dynamite was the one hero willing to fight The Man all the way from the blood-soaked city streets to the hallowed halls of the Honky House.</t>
  </si>
  <si>
    <t>movie:267193</t>
  </si>
  <si>
    <t>Grimsby</t>
  </si>
  <si>
    <t>tt3381008</t>
  </si>
  <si>
    <t>267193</t>
  </si>
  <si>
    <t>spy-espionage; family-drama</t>
  </si>
  <si>
    <t>https://www.imdb.com/title/tt3381008/</t>
  </si>
  <si>
    <t>https://www.themoviedb.org/search?query=Grimsby%202016</t>
  </si>
  <si>
    <t>Wrongfully accused and on the run, a top MI6 assassin joins forces with his long-lost, football hooligan brother to save the world from a sinister plot.</t>
  </si>
  <si>
    <t>movie:969492</t>
  </si>
  <si>
    <t>Land of Bad</t>
  </si>
  <si>
    <t>tt19864802</t>
  </si>
  <si>
    <t>969492</t>
  </si>
  <si>
    <t>war; spy-espionage</t>
  </si>
  <si>
    <t>intense; gritty; suspenseful</t>
  </si>
  <si>
    <t>https://www.imdb.com/title/tt19864802/</t>
  </si>
  <si>
    <t>https://www.themoviedb.org/search?query=Land%20of%20Bad%202024</t>
  </si>
  <si>
    <t>When a Delta Force special ops mission goes terribly wrong, Air Force drone pilot Reaper has 48 hours to remedy what has devolved into a wild rescue operation. With no weapons and no communication other than the drone above, the ground mission suddenly becomes a full-scale battle when the team is discovered by the enemy.</t>
  </si>
  <si>
    <t>movie:567189</t>
  </si>
  <si>
    <t>Tom Clancy's Without Remorse</t>
  </si>
  <si>
    <t>tt0499097</t>
  </si>
  <si>
    <t>567189</t>
  </si>
  <si>
    <t>spy-espionage; war; political</t>
  </si>
  <si>
    <t>https://www.imdb.com/title/tt0499097/</t>
  </si>
  <si>
    <t>https://www.themoviedb.org/search?query=Tom%20Clancy%27s%20Without%20Remorse%202021</t>
  </si>
  <si>
    <t>An elite Navy SEAL uncovers an international conspiracy while seeking justice for the murder of his pregnant wife.</t>
  </si>
  <si>
    <t>movie:347629</t>
  </si>
  <si>
    <t>Thank You for Your Service</t>
  </si>
  <si>
    <t>tt2776878</t>
  </si>
  <si>
    <t>347629</t>
  </si>
  <si>
    <t>trauma-recovery</t>
  </si>
  <si>
    <t>war; biopic</t>
  </si>
  <si>
    <t>gritty; intense; character-driven; melancholy</t>
  </si>
  <si>
    <t>https://www.imdb.com/title/tt2776878/</t>
  </si>
  <si>
    <t>https://www.themoviedb.org/search?query=Thank%20You%20for%20Your%20Service%202017</t>
  </si>
  <si>
    <t>A group of U.S. soldiers returning from Iraq struggle to integrate back into family and civilian life, while living with the memory of a war that threatens to destroy them long after they've left the battlefield.</t>
  </si>
  <si>
    <t>movie:383585</t>
  </si>
  <si>
    <t>The Yellow Birds</t>
  </si>
  <si>
    <t>tt3739110</t>
  </si>
  <si>
    <t>383585</t>
  </si>
  <si>
    <t>gritty; dark; character-driven; intense</t>
  </si>
  <si>
    <t>https://www.imdb.com/title/tt3739110/</t>
  </si>
  <si>
    <t>https://www.themoviedb.org/search?query=The%20Yellow%20Birds%202018</t>
  </si>
  <si>
    <t>Two young soldiers, Bartle and Murph, navigate the terrors of the Iraq war under the command of the older, troubled Sergeant Sterling. All the while, Bartle is tortured by a promise he made to Murph's mother before their deployment.</t>
  </si>
  <si>
    <t>movie:87492</t>
  </si>
  <si>
    <t>Foxcatcher</t>
  </si>
  <si>
    <t>tt1100089</t>
  </si>
  <si>
    <t>87492</t>
  </si>
  <si>
    <t>sports; biopic</t>
  </si>
  <si>
    <t>https://www.imdb.com/title/tt1100089/</t>
  </si>
  <si>
    <t>https://www.themoviedb.org/search?query=Foxcatcher%202014</t>
  </si>
  <si>
    <t>The greatest Olympic Wrestling Champion brother team joins Team Foxcatcher led by multimillionaire sponsor John E. du Pont as they train for the 1988 games in Seoul - a union that leads to unlikely circumstances.</t>
  </si>
  <si>
    <t>movie:522938</t>
  </si>
  <si>
    <t>Rambo: Last Blood</t>
  </si>
  <si>
    <t>tt1206885</t>
  </si>
  <si>
    <t>522938</t>
  </si>
  <si>
    <t>gritty; dark; intense; suspenseful</t>
  </si>
  <si>
    <t>https://www.imdb.com/title/tt1206885/</t>
  </si>
  <si>
    <t>https://www.themoviedb.org/search?query=Rambo%3A%20Last%20Blood%202019</t>
  </si>
  <si>
    <t>After fighting his demons for decades, John Rambo now lives in peace on his family ranch in Arizona, but his rest is interrupted when Gabriela, the granddaughter of his housekeeper María, disappears after crossing the border into Mexico to meet her biological father. Rambo, who has become a true father figure for Gabriela over the years, undertakes a desperate and dangerous journey to find her.</t>
  </si>
  <si>
    <t>movie:168259</t>
  </si>
  <si>
    <t>Furious 7</t>
  </si>
  <si>
    <t>tt2820852</t>
  </si>
  <si>
    <t>168259</t>
  </si>
  <si>
    <t>heist</t>
  </si>
  <si>
    <t>https://www.imdb.com/title/tt2820852/</t>
  </si>
  <si>
    <t>https://www.themoviedb.org/search?query=Furious%207%202015</t>
  </si>
  <si>
    <t>Deckard Shaw seeks revenge against Dominic Toretto and his family for his comatose brother.</t>
  </si>
  <si>
    <t>movie:385687</t>
  </si>
  <si>
    <t>Fast X</t>
  </si>
  <si>
    <t>tt5433140</t>
  </si>
  <si>
    <t>385687</t>
  </si>
  <si>
    <t>https://www.imdb.com/title/tt5433140/</t>
  </si>
  <si>
    <t>https://www.themoviedb.org/search?query=Fast%20X%202023</t>
  </si>
  <si>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everything—and everyone—that Dom loves, forever.</t>
  </si>
  <si>
    <t>movie:385128</t>
  </si>
  <si>
    <t>F9</t>
  </si>
  <si>
    <t>tt5433138</t>
  </si>
  <si>
    <t>385128</t>
  </si>
  <si>
    <t>nostalgic; character-driven; dramatic</t>
  </si>
  <si>
    <t>https://www.imdb.com/title/tt5433138/</t>
  </si>
  <si>
    <t>https://www.themoviedb.org/search?query=F9%202021</t>
  </si>
  <si>
    <t>Dominic Toretto and his crew battle the most skilled assassin and high-performance driver they've ever encountered: his forsaken brother.</t>
  </si>
  <si>
    <t>movie:436969</t>
  </si>
  <si>
    <t>The Suicide Squad</t>
  </si>
  <si>
    <t>tt6334354</t>
  </si>
  <si>
    <t>436969</t>
  </si>
  <si>
    <t>mental-health</t>
  </si>
  <si>
    <t>sci-fi-fantasy; superhero; horror</t>
  </si>
  <si>
    <t>dark; hilarious; offbeat; satirical</t>
  </si>
  <si>
    <t>https://www.imdb.com/title/tt6334354/</t>
  </si>
  <si>
    <t>https://www.themoviedb.org/search?query=The%20Suicide%20Squad%202021</t>
  </si>
  <si>
    <t>Supervillains Harley Quinn, Bloodsport, Peacemaker and a collection of nutty cons at Belle Reve prison join the super-secret, super-shady Task Force X as they are dropped off at the remote, enemy-infused island of Corto Maltese.</t>
  </si>
  <si>
    <t>movie:912649</t>
  </si>
  <si>
    <t>Venom: The Last Dance</t>
  </si>
  <si>
    <t>tt16366836</t>
  </si>
  <si>
    <t>912649</t>
  </si>
  <si>
    <t>dark; intense; gritty</t>
  </si>
  <si>
    <t>https://www.imdb.com/title/tt16366836/</t>
  </si>
  <si>
    <t>https://www.themoviedb.org/search?query=Venom%3A%20The%20Last%20Dance%202024</t>
  </si>
  <si>
    <t>Eddie and Venom are on the run. Hunted by both of their worlds and with the net closing in, the duo are forced into a devastating decision that will bring the curtains down on Venom and Eddie's last dance.</t>
  </si>
  <si>
    <t>movie:27578</t>
  </si>
  <si>
    <t>The Expendables</t>
  </si>
  <si>
    <t>tt1320253</t>
  </si>
  <si>
    <t>27578</t>
  </si>
  <si>
    <t>gritty; intense; dark</t>
  </si>
  <si>
    <t>https://www.imdb.com/title/tt1320253/</t>
  </si>
  <si>
    <t>https://www.themoviedb.org/search?query=The%20Expendables%202010</t>
  </si>
  <si>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</si>
  <si>
    <t>movie:338762</t>
  </si>
  <si>
    <t>Bloodshot</t>
  </si>
  <si>
    <t>tt1634106</t>
  </si>
  <si>
    <t>338762</t>
  </si>
  <si>
    <t>https://www.imdb.com/title/tt1634106/</t>
  </si>
  <si>
    <t>https://www.themoviedb.org/search?query=Bloodshot%202020</t>
  </si>
  <si>
    <t>After he and his wife are murdered, marine Ray Garrison is resurrected by a team of scientists. Enhanced with nanotechnology, he becomes a superhuman, biotech killing machine—'Bloodshot'.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</si>
  <si>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movie:453</t>
  </si>
  <si>
    <t>A Beautiful Mind</t>
  </si>
  <si>
    <t>tt0268978</t>
  </si>
  <si>
    <t>453</t>
  </si>
  <si>
    <t>biopic; psychological-thriller</t>
  </si>
  <si>
    <t>https://www.imdb.com/title/tt0268978/</t>
  </si>
  <si>
    <t>https://www.themoviedb.org/search?query=A%20Beautiful%20Mind%202001</t>
  </si>
  <si>
    <t>From the heights of notoriety to the depths of depravity, John Forbes Nash Jr. experiences it all. As a brilliant but socially awkward mathematician, he made a groundbreaking discovery early in his career and stands on the brink of international acclaim. But as the handsome and arrogant Nash accepts secret work in cryptography, he becomes entangled in a mysterious conspiracy. His life takes a nightmarish turn and he soon finds himself on a painful and harrowing journey of self-discovery.</t>
  </si>
  <si>
    <t>movie:1061474</t>
  </si>
  <si>
    <t>Superman</t>
  </si>
  <si>
    <t>tt5950044</t>
  </si>
  <si>
    <t>1061474</t>
  </si>
  <si>
    <t>inspirational; character-driven; intense; thoughtful</t>
  </si>
  <si>
    <t>https://www.imdb.com/title/tt5950044/</t>
  </si>
  <si>
    <t>https://www.themoviedb.org/search?query=Superman%202025</t>
  </si>
  <si>
    <t>Superman, a journalist in Metropolis, embarks on a journey to reconcile his Kryptonian heritage with his human upbringing as Clark Kent.</t>
  </si>
  <si>
    <t>movie:24428</t>
  </si>
  <si>
    <t>The Avengers</t>
  </si>
  <si>
    <t>tt0848228</t>
  </si>
  <si>
    <t>24428</t>
  </si>
  <si>
    <t>superhero; sci-fi-fantasy</t>
  </si>
  <si>
    <t>intense; witty; inspirational</t>
  </si>
  <si>
    <t>https://www.imdb.com/title/tt0848228/</t>
  </si>
  <si>
    <t>https://www.themoviedb.org/search?query=The%20Avengers%202012</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</si>
  <si>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</si>
  <si>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movie:631843</t>
  </si>
  <si>
    <t>Old</t>
  </si>
  <si>
    <t>tt10954652</t>
  </si>
  <si>
    <t>631843</t>
  </si>
  <si>
    <t>procedural; family-drama</t>
  </si>
  <si>
    <t>dark; suspenseful; intense; twisty</t>
  </si>
  <si>
    <t>https://www.imdb.com/title/tt10954652/</t>
  </si>
  <si>
    <t>https://www.themoviedb.org/search?query=Old%202021</t>
  </si>
  <si>
    <t>A group of families on a tropical holiday discover that the secluded beach where they are staying is somehow causing them to age rapidly – reducing their entire lives into a single day.</t>
  </si>
  <si>
    <t>movie:798362</t>
  </si>
  <si>
    <t>The Marsh King's Daughter</t>
  </si>
  <si>
    <t>tt8002382</t>
  </si>
  <si>
    <t>798362</t>
  </si>
  <si>
    <t>psychological-thriller; crime-drama; family-drama</t>
  </si>
  <si>
    <t>https://www.imdb.com/title/tt8002382/</t>
  </si>
  <si>
    <t>https://www.themoviedb.org/search?query=The%20Marsh%20King%27s%20Daughter%202023</t>
  </si>
  <si>
    <t>Helena, a woman living a seemingly ordinary life, hides a dark secret—her father is the infamous 'Marsh King', the man who kept her and her mother captive in the wilderness for years. After a lifetime of trying to escape her past, Helena is forced to face her demons when her father unexpectedly escapes from prison.</t>
  </si>
  <si>
    <t>show:202097</t>
  </si>
  <si>
    <t>Accused</t>
  </si>
  <si>
    <t>tt7949212</t>
  </si>
  <si>
    <t>202097</t>
  </si>
  <si>
    <t>dark; suspenseful; twisty; character-driven</t>
  </si>
  <si>
    <t>https://www.imdb.com/title/tt7949212/</t>
  </si>
  <si>
    <t>https://www.themoviedb.org/search?query=Accused%202023</t>
  </si>
  <si>
    <t>In this crime anthology series, viewers discover how an ordinary person got caught up in an extraordinary situation, ultimately revealing how one wrong turn leads to another, until it’s too late to turn back. Told from the defendant’s point of view, each episode opens in a courtroom on the accused without knowing their crime or how they ended up on trial.</t>
  </si>
  <si>
    <t>show:256711</t>
  </si>
  <si>
    <t>The Rainmaker</t>
  </si>
  <si>
    <t>tt6151526</t>
  </si>
  <si>
    <t>256711</t>
  </si>
  <si>
    <t>legal; crime-drama</t>
  </si>
  <si>
    <t>intense; character-driven; suspenseful; gritty</t>
  </si>
  <si>
    <t>https://www.imdb.com/title/tt6151526/</t>
  </si>
  <si>
    <t>https://www.themoviedb.org/search?query=The%20Rainmaker%202025</t>
  </si>
  <si>
    <t>Fresh out of law school, Rudy Baylor goes head to head with courtroom lion Leo Drummond as well as his law school girlfriend, Sarah. Rudy, along with his boss, Bruiser, and her disheveled paralegal, Deck, uncovers two connected conspiracies surrounding the mysterious death of their client's son.</t>
  </si>
  <si>
    <t>show:44856</t>
  </si>
  <si>
    <t>Wentworth</t>
  </si>
  <si>
    <t>tt2433738</t>
  </si>
  <si>
    <t>44856</t>
  </si>
  <si>
    <t>prison</t>
  </si>
  <si>
    <t>https://www.imdb.com/title/tt2433738/</t>
  </si>
  <si>
    <t>https://www.themoviedb.org/search?query=Wentworth%202013</t>
  </si>
  <si>
    <t>Bea Smith is locked up while awaiting trial for the attempted murder of her husband and must learn how life works in prison. A modern adaptation and sequel of the iconic Prisoner series.</t>
  </si>
  <si>
    <t>show:95205</t>
  </si>
  <si>
    <t>The Equalizer</t>
  </si>
  <si>
    <t>tt11242246</t>
  </si>
  <si>
    <t>95205</t>
  </si>
  <si>
    <t>crime-drama; spy-espionage; procedural</t>
  </si>
  <si>
    <t>gritty; intense; inspirational</t>
  </si>
  <si>
    <t>https://www.imdb.com/title/tt11242246/</t>
  </si>
  <si>
    <t>https://www.themoviedb.org/search?query=The%20Equalizer%202021</t>
  </si>
  <si>
    <t>Robyn McCall, an enigmatic former CIA operative with a mysterious background, uses her extensive skills to help those with nowhere else to turn.</t>
  </si>
  <si>
    <t>show:67026</t>
  </si>
  <si>
    <t>Designated Survivor</t>
  </si>
  <si>
    <t>tt5296406</t>
  </si>
  <si>
    <t>67026</t>
  </si>
  <si>
    <t>thoughtful; dark; satirical</t>
  </si>
  <si>
    <t>https://www.imdb.com/title/tt5296406/</t>
  </si>
  <si>
    <t>https://www.themoviedb.org/search?query=Designated%20Survivor%202016</t>
  </si>
  <si>
    <t>Tom Kirkman, a low-level cabinet member is suddenly appointed President of the United States after a catastrophic attack during the State of the Union kills everyone above him in the Presidential line of succession.</t>
  </si>
  <si>
    <t>show:1403</t>
  </si>
  <si>
    <t>Marvel's Agents of S.H.I.E.L.D.</t>
  </si>
  <si>
    <t>tt2364582</t>
  </si>
  <si>
    <t>1403</t>
  </si>
  <si>
    <t>suspenseful; intense; character-driven; witty</t>
  </si>
  <si>
    <t>https://www.imdb.com/title/tt2364582/</t>
  </si>
  <si>
    <t>https://www.themoviedb.org/search?query=Marvel%27s%20Agents%20of%20S.H.I.E.L.D.%202013</t>
  </si>
  <si>
    <t>Agent Phil Coulson of S.H.I.E.L.D. (Strategic Homeland Intervention, Enforcement and Logistics Division) puts together a team of agents to investigate the new, the strange and the unknown around the globe, protecting the ordinary from the extraordinary.</t>
  </si>
  <si>
    <t>show:62643</t>
  </si>
  <si>
    <t>DC's Legends of Tomorrow</t>
  </si>
  <si>
    <t>tt4532368</t>
  </si>
  <si>
    <t>62643</t>
  </si>
  <si>
    <t>memory-reality</t>
  </si>
  <si>
    <t>witty; intense; suspenseful; offbeat</t>
  </si>
  <si>
    <t>https://www.imdb.com/title/tt4532368/</t>
  </si>
  <si>
    <t>https://www.themoviedb.org/search?query=DC%27s%20Legends%20of%20Tomorrow%202016</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</si>
  <si>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 one in which not only is the planet at stake, but all of time itself. Can this ragtag team defeat an immortal threat unlike anything they have ever known?</t>
  </si>
  <si>
    <t>show:112693</t>
  </si>
  <si>
    <t>Kin</t>
  </si>
  <si>
    <t>tt13444408</t>
  </si>
  <si>
    <t>112693</t>
  </si>
  <si>
    <t>https://www.imdb.com/title/tt13444408/</t>
  </si>
  <si>
    <t>https://www.themoviedb.org/search?query=Kin%202021</t>
  </si>
  <si>
    <t>The lives of a Dublin family embroiled in a gangland war and the consequences of their choices.</t>
  </si>
  <si>
    <t>show:87428</t>
  </si>
  <si>
    <t>Why Women Kill</t>
  </si>
  <si>
    <t>tt9054904</t>
  </si>
  <si>
    <t>87428</t>
  </si>
  <si>
    <t>intense; suspenseful</t>
  </si>
  <si>
    <t>https://www.imdb.com/title/tt9054904/</t>
  </si>
  <si>
    <t>https://www.themoviedb.org/search?query=Why%20Women%20Kill%202019</t>
  </si>
  <si>
    <t>Three women living in three different decades: a housewife in the '60s, a socialite in the '80s and a lawyer in 2018, deal with infidelity in their marriages.</t>
  </si>
  <si>
    <t>show:124364</t>
  </si>
  <si>
    <t>FROM</t>
  </si>
  <si>
    <t>tt9813792</t>
  </si>
  <si>
    <t>124364</t>
  </si>
  <si>
    <t>https://www.imdb.com/title/tt9813792/</t>
  </si>
  <si>
    <t>https://www.themoviedb.org/search?query=FROM%202022</t>
  </si>
  <si>
    <t>Unravel the mystery of a nightmarish town in middle America that traps all those who enter. As the unwilling residents fight to keep a sense of normalcy and search for a way out, they must also survive the threats of the surrounding forest – including the terrifying creatures that come out when the sun goes down.</t>
  </si>
  <si>
    <t>show:1416</t>
  </si>
  <si>
    <t>Grey's Anatomy</t>
  </si>
  <si>
    <t>tt0413573</t>
  </si>
  <si>
    <t>1416</t>
  </si>
  <si>
    <t>medical-careers-and-personal-relationships</t>
  </si>
  <si>
    <t>medical-drama; workplace-drama; ensemble-drama</t>
  </si>
  <si>
    <t>emotional; character-driven; dramatic; heartfelt</t>
  </si>
  <si>
    <t>https://www.imdb.com/title/tt0413573/</t>
  </si>
  <si>
    <t>https://www.themoviedb.org/search?query=Grey%27s%20Anatomy%202005</t>
  </si>
  <si>
    <t>Medical careers and personal relationships is the central narrative concern supported by the reviewed title synopsis and classification sources.</t>
  </si>
  <si>
    <t>show:95004</t>
  </si>
  <si>
    <t>Tyler Perry's The Oval</t>
  </si>
  <si>
    <t>tt10580092</t>
  </si>
  <si>
    <t>95004</t>
  </si>
  <si>
    <t>political-power-and-family-secrets</t>
  </si>
  <si>
    <t>political-soap; family-drama; conspiracy-drama</t>
  </si>
  <si>
    <t>dramatic; twisty; intense; suspenseful</t>
  </si>
  <si>
    <t>https://www.imdb.com/title/tt10580092/</t>
  </si>
  <si>
    <t>https://www.themoviedb.org/search?query=Tyler%20Perry%27s%20The%20Oval%202019</t>
  </si>
  <si>
    <t>Political power and family secrets is the central narrative concern supported by the reviewed title synopsis and classification sources.</t>
  </si>
  <si>
    <t>show:201877</t>
  </si>
  <si>
    <t>Walker Independence</t>
  </si>
  <si>
    <t>tt16373746</t>
  </si>
  <si>
    <t>201877</t>
  </si>
  <si>
    <t>frontier-justice-and-reinvention</t>
  </si>
  <si>
    <t>historical-western; mystery-western; revenge-drama</t>
  </si>
  <si>
    <t>adventurous; suspenseful; rugged; character-driven</t>
  </si>
  <si>
    <t>https://www.imdb.com/title/tt16373746/</t>
  </si>
  <si>
    <t>https://www.themoviedb.org/search?query=Walker%20Independence%202022</t>
  </si>
  <si>
    <t>Frontier justice and reinvention is the central narrative concern supported by the reviewed title synopsis and classification sources.</t>
  </si>
  <si>
    <t>show:157732</t>
  </si>
  <si>
    <t>Lawmen: Bass Reeves</t>
  </si>
  <si>
    <t>tt15399640</t>
  </si>
  <si>
    <t>157732</t>
  </si>
  <si>
    <t>justice-and-legacy</t>
  </si>
  <si>
    <t>historical-western; biography; lawman-drama</t>
  </si>
  <si>
    <t>gritty; heroic; atmospheric; character-driven</t>
  </si>
  <si>
    <t>https://www.imdb.com/title/tt15399640/</t>
  </si>
  <si>
    <t>https://www.themoviedb.org/search?query=Lawmen%3A%20Bass%20Reeves%202023</t>
  </si>
  <si>
    <t>Justice and legacy is the central narrative concern supported by the reviewed title synopsis and classification sources.</t>
  </si>
  <si>
    <t>show:3050</t>
  </si>
  <si>
    <t>The Practice</t>
  </si>
  <si>
    <t>tt0118437</t>
  </si>
  <si>
    <t>3050</t>
  </si>
  <si>
    <t>legal-ethics-and-justice</t>
  </si>
  <si>
    <t>legal-drama; courtroom-drama; workplace-drama</t>
  </si>
  <si>
    <t>cerebral; tense; character-driven; serious</t>
  </si>
  <si>
    <t>https://www.imdb.com/title/tt0118437/</t>
  </si>
  <si>
    <t>https://www.themoviedb.org/search?query=The%20Practice%201997</t>
  </si>
  <si>
    <t>Legal ethics and justice is the central narrative concern supported by the reviewed title synopsis and classification sources.</t>
  </si>
  <si>
    <t>show:16997</t>
  </si>
  <si>
    <t>The Pacific</t>
  </si>
  <si>
    <t>tt0374463</t>
  </si>
  <si>
    <t>16997</t>
  </si>
  <si>
    <t>combat-and-trauma</t>
  </si>
  <si>
    <t>harrowing; intense; somber; immersive</t>
  </si>
  <si>
    <t>https://www.imdb.com/title/tt0374463/</t>
  </si>
  <si>
    <t>https://www.themoviedb.org/search?query=The%20Pacific%202010</t>
  </si>
  <si>
    <t>Combat and trauma is the central narrative concern supported by the reviewed title synopsis and classification sources.</t>
  </si>
  <si>
    <t>show:60726</t>
  </si>
  <si>
    <t>Forever</t>
  </si>
  <si>
    <t>tt3487382</t>
  </si>
  <si>
    <t>60726</t>
  </si>
  <si>
    <t>immortality-and-detection</t>
  </si>
  <si>
    <t>police-procedural; fantasy-drama; mystery</t>
  </si>
  <si>
    <t>witty; romantic; suspenseful; character-driven</t>
  </si>
  <si>
    <t>https://www.imdb.com/title/tt3487382/</t>
  </si>
  <si>
    <t>https://www.themoviedb.org/search?query=Forever%202014</t>
  </si>
  <si>
    <t>Immortality and detection is the central narrative concern supported by the reviewed title synopsis and classification sources.</t>
  </si>
  <si>
    <t>show:66310</t>
  </si>
  <si>
    <t>StartUp</t>
  </si>
  <si>
    <t>tt5028002</t>
  </si>
  <si>
    <t>66310</t>
  </si>
  <si>
    <t>technology-crime-and-ambition</t>
  </si>
  <si>
    <t>tech-thriller; organized-crime; business-drama</t>
  </si>
  <si>
    <t>tense; gritty; fast-paced; character-driven</t>
  </si>
  <si>
    <t>https://www.imdb.com/title/tt5028002/</t>
  </si>
  <si>
    <t>https://www.themoviedb.org/search?query=StartUp%202016</t>
  </si>
  <si>
    <t>Technology crime and ambition is the central narrative concern supported by the reviewed title synopsis and classification sources.</t>
  </si>
  <si>
    <t>movie:504562</t>
  </si>
  <si>
    <t>Motherless Brooklyn</t>
  </si>
  <si>
    <t>tt0385887</t>
  </si>
  <si>
    <t>504562</t>
  </si>
  <si>
    <t>corruption-and-obsessive-detection</t>
  </si>
  <si>
    <t>neo-noir; detective-mystery; period-drama</t>
  </si>
  <si>
    <t>atmospheric; cerebral; melancholic; suspenseful</t>
  </si>
  <si>
    <t>https://www.imdb.com/title/tt0385887/</t>
  </si>
  <si>
    <t>https://www.themoviedb.org/search?query=Motherless%20Brooklyn%202019</t>
  </si>
  <si>
    <t>Corruption and obsessive detection is the central narrative concern supported by the reviewed title synopsis and classification sources.</t>
  </si>
  <si>
    <t>movie:862557</t>
  </si>
  <si>
    <t>The Hill</t>
  </si>
  <si>
    <t>tt8051894</t>
  </si>
  <si>
    <t>862557</t>
  </si>
  <si>
    <t>faith-and-baseball-perseverance</t>
  </si>
  <si>
    <t>baseball-drama; biography; inspirational-drama</t>
  </si>
  <si>
    <t>https://www.imdb.com/title/tt8051894/</t>
  </si>
  <si>
    <t>https://www.themoviedb.org/search?query=The%20Hill%202023</t>
  </si>
  <si>
    <t>Faith and baseball perseverance is the central narrative concern supported by the reviewed title synopsis and classification sources.</t>
  </si>
  <si>
    <t>movie:1433719</t>
  </si>
  <si>
    <t>High Ground</t>
  </si>
  <si>
    <t>tt35669717</t>
  </si>
  <si>
    <t>1433719</t>
  </si>
  <si>
    <t>small-town-defense-against-cartel</t>
  </si>
  <si>
    <t>neo-western; crime-thriller; siege-film</t>
  </si>
  <si>
    <t>tense; rugged; violent; suspenseful</t>
  </si>
  <si>
    <t>https://www.imdb.com/title/tt35669717/</t>
  </si>
  <si>
    <t>https://www.themoviedb.org/search?query=High%20Ground%202025</t>
  </si>
  <si>
    <t>Small town defense against cartel is the central narrative concern supported by the reviewed title synopsis and classification sources.</t>
  </si>
  <si>
    <t>movie:1293162</t>
  </si>
  <si>
    <t>Thieves Highway</t>
  </si>
  <si>
    <t>tt32801387</t>
  </si>
  <si>
    <t>1293162</t>
  </si>
  <si>
    <t>cattle-rustling-and-frontier-justice</t>
  </si>
  <si>
    <t>neo-western; crime-thriller; survival-action</t>
  </si>
  <si>
    <t>rugged; tense; fast-paced; gritty</t>
  </si>
  <si>
    <t>https://www.imdb.com/title/tt32801387/</t>
  </si>
  <si>
    <t>https://www.themoviedb.org/search?query=Thieves%20Highway%202025</t>
  </si>
  <si>
    <t>Cattle rustling and frontier justice is the central narrative concern supported by the reviewed title synopsis and classification sources.</t>
  </si>
  <si>
    <t>movie:76640</t>
  </si>
  <si>
    <t>The Last Stand</t>
  </si>
  <si>
    <t>tt1549920</t>
  </si>
  <si>
    <t>76640</t>
  </si>
  <si>
    <t>border-town-defense</t>
  </si>
  <si>
    <t>neo-western; crime-action; siege-film</t>
  </si>
  <si>
    <t>violent; energetic; suspenseful; pulpy</t>
  </si>
  <si>
    <t>https://www.imdb.com/title/tt1549920/</t>
  </si>
  <si>
    <t>https://www.themoviedb.org/search?query=The%20Last%20Stand%202013</t>
  </si>
  <si>
    <t>Border town defense is the central narrative concern supported by the reviewed title synopsis and classification sources.</t>
  </si>
  <si>
    <t>movie:1082195</t>
  </si>
  <si>
    <t>The Order</t>
  </si>
  <si>
    <t>tt26625693</t>
  </si>
  <si>
    <t>1082195</t>
  </si>
  <si>
    <t>white-supremacist-terrorism-investigation</t>
  </si>
  <si>
    <t>historical-thriller; police-procedural; true-crime</t>
  </si>
  <si>
    <t>tense; grim; suspenseful; serious</t>
  </si>
  <si>
    <t>https://www.imdb.com/title/tt26625693/</t>
  </si>
  <si>
    <t>https://www.themoviedb.org/search?query=The%20Order%202024</t>
  </si>
  <si>
    <t>White supremacist terrorism investigation is the central narrative concern supported by the reviewed title synopsis and classification sources.</t>
  </si>
  <si>
    <t>Batch 15</t>
  </si>
  <si>
    <t>movie:295699</t>
  </si>
  <si>
    <t>Everybody Wants Some!!</t>
  </si>
  <si>
    <t>tt2937696</t>
  </si>
  <si>
    <t>295699</t>
  </si>
  <si>
    <t>college-friendship-and-competition</t>
  </si>
  <si>
    <t>college-comedy; sports-comedy; coming-of-age</t>
  </si>
  <si>
    <t>nostalgic; loose; witty; energetic</t>
  </si>
  <si>
    <t>https://www.imdb.com/title/tt2937696/</t>
  </si>
  <si>
    <t>https://www.themoviedb.org/search?query=Everybody%20Wants%20Some%21%21%202016</t>
  </si>
  <si>
    <t>College friendship and competition is the central narrative concern supported by the reviewed title synopsis and classification sources.</t>
  </si>
  <si>
    <t>movie:325133</t>
  </si>
  <si>
    <t>Neighbors 2: Sorority Rising</t>
  </si>
  <si>
    <t>tt4438848</t>
  </si>
  <si>
    <t>325133</t>
  </si>
  <si>
    <t>generational-conflict-and-belonging</t>
  </si>
  <si>
    <t>college-comedy; buddy-comedy; farce</t>
  </si>
  <si>
    <t>raunchy; energetic; absurd; playful</t>
  </si>
  <si>
    <t>https://www.imdb.com/title/tt4438848/</t>
  </si>
  <si>
    <t>https://www.themoviedb.org/search?query=Neighbors%202%3A%20Sorority%20Rising%202016</t>
  </si>
  <si>
    <t>Generational conflict and belonging is the central narrative concern supported by the reviewed title synopsis and classification sources.</t>
  </si>
  <si>
    <t>movie:107811</t>
  </si>
  <si>
    <t>21 &amp; Over</t>
  </si>
  <si>
    <t>tt1711425</t>
  </si>
  <si>
    <t>107811</t>
  </si>
  <si>
    <t>friendship-and-reckless-celebration</t>
  </si>
  <si>
    <t>college-comedy; buddy-comedy; road-comedy</t>
  </si>
  <si>
    <t>raunchy; chaotic; energetic; absurd</t>
  </si>
  <si>
    <t>https://www.imdb.com/title/tt1711425/</t>
  </si>
  <si>
    <t>https://www.themoviedb.org/search?query=21%20%26%20Over%202013</t>
  </si>
  <si>
    <t>Friendship and reckless celebration is the central narrative concern supported by the reviewed title synopsis and classification sources.</t>
  </si>
  <si>
    <t>movie:1008953</t>
  </si>
  <si>
    <t>Incoming</t>
  </si>
  <si>
    <t>tt21284218</t>
  </si>
  <si>
    <t>1008953</t>
  </si>
  <si>
    <t>first-week-of-high-school</t>
  </si>
  <si>
    <t>teen-comedy; coming-of-age; ensemble-comedy</t>
  </si>
  <si>
    <t>raunchy; energetic; awkward; playful</t>
  </si>
  <si>
    <t>https://www.imdb.com/title/tt21284218/</t>
  </si>
  <si>
    <t>https://www.themoviedb.org/search?query=Incoming%202024</t>
  </si>
  <si>
    <t>First week of high school is the central narrative concern supported by the reviewed title synopsis and classification sources.</t>
  </si>
  <si>
    <t>movie:4911</t>
  </si>
  <si>
    <t>Dark Blue</t>
  </si>
  <si>
    <t>tt0279331</t>
  </si>
  <si>
    <t>4911</t>
  </si>
  <si>
    <t>police-corruption-and-conscience</t>
  </si>
  <si>
    <t>police-thriller; neo-noir; historical-drama</t>
  </si>
  <si>
    <t>gritty; tense; dark; character-driven</t>
  </si>
  <si>
    <t>https://www.imdb.com/title/tt0279331/</t>
  </si>
  <si>
    <t>https://www.themoviedb.org/search?query=Dark%20Blue%202002</t>
  </si>
  <si>
    <t>Police corruption and conscience is the central narrative concern supported by the reviewed title synopsis and classification sources.</t>
  </si>
  <si>
    <t>movie:668489</t>
  </si>
  <si>
    <t>Havoc</t>
  </si>
  <si>
    <t>tt14123284</t>
  </si>
  <si>
    <t>668489</t>
  </si>
  <si>
    <t>corruption-and-underworld-rescue</t>
  </si>
  <si>
    <t>crime-thriller; rescue-action; neo-noir</t>
  </si>
  <si>
    <t>brutal; kinetic; dark; relentless</t>
  </si>
  <si>
    <t>https://www.imdb.com/title/tt14123284/</t>
  </si>
  <si>
    <t>https://www.themoviedb.org/search?query=Havoc%202025</t>
  </si>
  <si>
    <t>Corruption and underworld rescue is the central narrative concern supported by the reviewed title synopsis and classification sources.</t>
  </si>
  <si>
    <t>movie:1428</t>
  </si>
  <si>
    <t>Once Upon a Time in Mexico</t>
  </si>
  <si>
    <t>tt0285823</t>
  </si>
  <si>
    <t>1428</t>
  </si>
  <si>
    <t>revolution-and-revenge</t>
  </si>
  <si>
    <t>neo-western; gunfighter-action; political-thriller</t>
  </si>
  <si>
    <t>stylish; violent; energetic; pulpy</t>
  </si>
  <si>
    <t>https://www.imdb.com/title/tt0285823/</t>
  </si>
  <si>
    <t>https://www.themoviedb.org/search?query=Once%20Upon%20a%20Time%20in%20Mexico%202003</t>
  </si>
  <si>
    <t>Revolution and revenge is the central narrative concern supported by the reviewed title synopsis and classification sources.</t>
  </si>
  <si>
    <t>movie:634528</t>
  </si>
  <si>
    <t>The Marksman</t>
  </si>
  <si>
    <t>tt6902332</t>
  </si>
  <si>
    <t>634528</t>
  </si>
  <si>
    <t>border-crossing-and-protection</t>
  </si>
  <si>
    <t>neo-western; road-thriller; crime-drama</t>
  </si>
  <si>
    <t>rugged; tense; emotional; suspenseful</t>
  </si>
  <si>
    <t>https://www.imdb.com/title/tt6902332/</t>
  </si>
  <si>
    <t>https://www.themoviedb.org/search?query=The%20Marksman%202021</t>
  </si>
  <si>
    <t>Border crossing and protection is the central narrative concern supported by the reviewed title synopsis and classification sources.</t>
  </si>
  <si>
    <t>movie:49021</t>
  </si>
  <si>
    <t>Killer Elite</t>
  </si>
  <si>
    <t>tt1448755</t>
  </si>
  <si>
    <t>49021</t>
  </si>
  <si>
    <t>assassination-and-betrayal</t>
  </si>
  <si>
    <t>spy-thriller; assassin-action; conspiracy-thriller</t>
  </si>
  <si>
    <t>intense; gritty; fast-paced; suspenseful</t>
  </si>
  <si>
    <t>https://www.imdb.com/title/tt1448755/</t>
  </si>
  <si>
    <t>https://www.themoviedb.org/search?query=Killer%20Elite%202011</t>
  </si>
  <si>
    <t>Assassination and betrayal is the central narrative concern supported by the reviewed title synopsis and classification sources.</t>
  </si>
  <si>
    <t>movie:893297</t>
  </si>
  <si>
    <t>American Sicario</t>
  </si>
  <si>
    <t>tt13322120</t>
  </si>
  <si>
    <t>893297</t>
  </si>
  <si>
    <t>cartel-ambition-and-downfall</t>
  </si>
  <si>
    <t>drug-crime; gangster; biographical-drama</t>
  </si>
  <si>
    <t>gritty; violent; intense; dark</t>
  </si>
  <si>
    <t>https://www.imdb.com/title/tt13322120/</t>
  </si>
  <si>
    <t>https://www.themoviedb.org/search?query=American%20Sicario%202021</t>
  </si>
  <si>
    <t>Cartel ambition and downfall is the central narrative concern supported by the reviewed title synopsis and classification sources.</t>
  </si>
  <si>
    <t>movie:612</t>
  </si>
  <si>
    <t>Munich</t>
  </si>
  <si>
    <t>tt0408306</t>
  </si>
  <si>
    <t>612</t>
  </si>
  <si>
    <t>revenge-and-moral-cost</t>
  </si>
  <si>
    <t>historical-thriller; spy-drama; political-drama</t>
  </si>
  <si>
    <t>tense; cerebral; somber; suspenseful</t>
  </si>
  <si>
    <t>https://www.imdb.com/title/tt0408306/</t>
  </si>
  <si>
    <t>https://www.themoviedb.org/search?query=Munich%202005</t>
  </si>
  <si>
    <t>Revenge and moral cost is the central narrative concern supported by the reviewed title synopsis and classification sources.</t>
  </si>
  <si>
    <t>movie:1263012</t>
  </si>
  <si>
    <t>Dead Man's Wire</t>
  </si>
  <si>
    <t>tt15181326</t>
  </si>
  <si>
    <t>1263012</t>
  </si>
  <si>
    <t>grievance-hostage-crisis-and-media</t>
  </si>
  <si>
    <t>true-crime; hostage-thriller; historical-drama</t>
  </si>
  <si>
    <t>tense; claustrophobic; unsettling; character-driven</t>
  </si>
  <si>
    <t>https://www.imdb.com/title/tt15181326/</t>
  </si>
  <si>
    <t>https://www.themoviedb.org/search?query=Dead%20Man%27s%20Wire%202026</t>
  </si>
  <si>
    <t>Grievance hostage crisis and media is the central narrative concern supported by the reviewed title synopsis and classification sources.</t>
  </si>
  <si>
    <t>movie:913290</t>
  </si>
  <si>
    <t>Barbarian</t>
  </si>
  <si>
    <t>tt15791034</t>
  </si>
  <si>
    <t>913290</t>
  </si>
  <si>
    <t>hidden-violence-and-survival</t>
  </si>
  <si>
    <t>survival-horror; mystery-horror; social-horror</t>
  </si>
  <si>
    <t>frightening; twisty; claustrophobic; dark</t>
  </si>
  <si>
    <t>https://www.imdb.com/title/tt15791034/</t>
  </si>
  <si>
    <t>https://www.themoviedb.org/search?query=Barbarian%202022</t>
  </si>
  <si>
    <t>Hidden violence and survival is the central narrative concern supported by the reviewed title synopsis and classification sources.</t>
  </si>
  <si>
    <t>movie:339527</t>
  </si>
  <si>
    <t>Solace</t>
  </si>
  <si>
    <t>tt1291570</t>
  </si>
  <si>
    <t>339527</t>
  </si>
  <si>
    <t>psychic-detection-and-mercy</t>
  </si>
  <si>
    <t>supernatural-thriller; serial-killer-thriller; police-procedural</t>
  </si>
  <si>
    <t>cerebral; dark; suspenseful; somber</t>
  </si>
  <si>
    <t>https://www.imdb.com/title/tt1291570/</t>
  </si>
  <si>
    <t>https://www.themoviedb.org/search?query=Solace%202015</t>
  </si>
  <si>
    <t>Psychic detection and mercy is the central narrative concern supported by the reviewed title synopsis and classification sources.</t>
  </si>
  <si>
    <t>movie:936075</t>
  </si>
  <si>
    <t>Michael</t>
  </si>
  <si>
    <t>tt11378946</t>
  </si>
  <si>
    <t>936075</t>
  </si>
  <si>
    <t>artistic-legacy-and-personal-life</t>
  </si>
  <si>
    <t>energetic; emotional; polished; dramatic</t>
  </si>
  <si>
    <t>https://www.imdb.com/title/tt11378946/</t>
  </si>
  <si>
    <t>https://www.themoviedb.org/search?query=Michael%202026</t>
  </si>
  <si>
    <t>Artistic legacy and personal life is the central narrative concern supported by the reviewed title synopsis and classification sources.</t>
  </si>
  <si>
    <t>movie:799766</t>
  </si>
  <si>
    <t>Better Man</t>
  </si>
  <si>
    <t>tt14260836</t>
  </si>
  <si>
    <t>799766</t>
  </si>
  <si>
    <t>fame-addiction-and-self-acceptance</t>
  </si>
  <si>
    <t>music-biography; musical-drama; fantasy-biography</t>
  </si>
  <si>
    <t>inventive; emotional; energetic; bittersweet</t>
  </si>
  <si>
    <t>https://www.imdb.com/title/tt14260836/</t>
  </si>
  <si>
    <t>https://www.themoviedb.org/search?query=Better%20Man%202024</t>
  </si>
  <si>
    <t>Fame addiction and self acceptance is the central narrative concern supported by the reviewed title synopsis and classification sources.</t>
  </si>
  <si>
    <t>movie:1078600</t>
  </si>
  <si>
    <t>Marked Men: Rule + Shaw</t>
  </si>
  <si>
    <t>tt26452781</t>
  </si>
  <si>
    <t>1078600</t>
  </si>
  <si>
    <t>opposites-attract-romance</t>
  </si>
  <si>
    <t>romantic-drama; new-adult-romance; relationship-drama</t>
  </si>
  <si>
    <t>romantic; emotional; intense; glossy</t>
  </si>
  <si>
    <t>https://www.imdb.com/title/tt26452781/</t>
  </si>
  <si>
    <t>https://www.themoviedb.org/search?query=Marked%20Men%3A%20Rule%20%2B%20Shaw%202025</t>
  </si>
  <si>
    <t>Opposites attract romance is the central narrative concern supported by the reviewed title synopsis and classification sources.</t>
  </si>
  <si>
    <t>movie:897087</t>
  </si>
  <si>
    <t>Freelance</t>
  </si>
  <si>
    <t>tt15744298</t>
  </si>
  <si>
    <t>897087</t>
  </si>
  <si>
    <t>journalist-protection-and-coup</t>
  </si>
  <si>
    <t>action-comedy; political-action; adventure</t>
  </si>
  <si>
    <t>energetic; lighthearted; fast-paced; suspenseful</t>
  </si>
  <si>
    <t>https://www.imdb.com/title/tt15744298/</t>
  </si>
  <si>
    <t>https://www.themoviedb.org/search?query=Freelance%202023</t>
  </si>
  <si>
    <t>Journalist protection and coup is the central narrative concern supported by the reviewed title synopsis and classification sources.</t>
  </si>
  <si>
    <t>show:4573</t>
  </si>
  <si>
    <t>Late Night with Conan O'Brien</t>
  </si>
  <si>
    <t>tt0106052</t>
  </si>
  <si>
    <t>4573</t>
  </si>
  <si>
    <t>late-night-comedy-and-celebrity-culture</t>
  </si>
  <si>
    <t>talk-show; sketch-comedy; interview-comedy</t>
  </si>
  <si>
    <t>witty; irreverent; absurd; energetic</t>
  </si>
  <si>
    <t>https://www.imdb.com/title/tt0106052/</t>
  </si>
  <si>
    <t>https://www.themoviedb.org/search?query=Late%20Night%20with%20Conan%20O%27Brien%201993</t>
  </si>
  <si>
    <t>Late night comedy and celebrity culture is the central narrative concern supported by the reviewed title synopsis and classification sources.</t>
  </si>
  <si>
    <t>show:82193</t>
  </si>
  <si>
    <t>Norm Macdonald Has a Show</t>
  </si>
  <si>
    <t>tt8139862</t>
  </si>
  <si>
    <t>82193</t>
  </si>
  <si>
    <t>celebrity-conversation-and-deadpan-humor</t>
  </si>
  <si>
    <t>interview-comedy; talk-show</t>
  </si>
  <si>
    <t>deadpan; witty; irreverent; conversational</t>
  </si>
  <si>
    <t>https://www.imdb.com/title/tt8139862/</t>
  </si>
  <si>
    <t>https://www.themoviedb.org/search?query=Norm%20Macdonald%20Has%20a%20Show%202018</t>
  </si>
  <si>
    <t>Celebrity conversation and deadpan humor is the central narrative concern supported by the reviewed title synopsis and classification sources.</t>
  </si>
  <si>
    <t>show:219</t>
  </si>
  <si>
    <t>Kyle XY</t>
  </si>
  <si>
    <t>tt0756509</t>
  </si>
  <si>
    <t>219</t>
  </si>
  <si>
    <t>identity-and-human-experimentation</t>
  </si>
  <si>
    <t>teen-drama; mystery-drama; conspiracy-fiction</t>
  </si>
  <si>
    <t>mysterious; heartfelt; suspenseful; character-driven</t>
  </si>
  <si>
    <t>https://www.imdb.com/title/tt0756509/</t>
  </si>
  <si>
    <t>https://www.themoviedb.org/search?query=Kyle%20XY%202006</t>
  </si>
  <si>
    <t>Identity and human experimentation is the central narrative concern supported by the reviewed title synopsis and classification sources.</t>
  </si>
  <si>
    <t>show:57389</t>
  </si>
  <si>
    <t>Klondike</t>
  </si>
  <si>
    <t>tt2761630</t>
  </si>
  <si>
    <t>57389</t>
  </si>
  <si>
    <t>gold-rush-survival-and-ambition</t>
  </si>
  <si>
    <t>historical-drama; western; adventure-drama</t>
  </si>
  <si>
    <t>rugged; atmospheric; intense; sweeping</t>
  </si>
  <si>
    <t>https://www.imdb.com/title/tt2761630/</t>
  </si>
  <si>
    <t>https://www.themoviedb.org/search?query=Klondike%202014</t>
  </si>
  <si>
    <t>Gold rush survival and ambition is the central narrative concern supported by the reviewed title synopsis and classification sources.</t>
  </si>
  <si>
    <t>show:211169</t>
  </si>
  <si>
    <t>Hotel Cocaine</t>
  </si>
  <si>
    <t>tt17676706</t>
  </si>
  <si>
    <t>211169</t>
  </si>
  <si>
    <t>drug-trafficking-and-double-loyalties</t>
  </si>
  <si>
    <t>drug-crime; period-drama; family-drama</t>
  </si>
  <si>
    <t>stylish; tense; gritty; suspenseful</t>
  </si>
  <si>
    <t>https://www.imdb.com/title/tt17676706/</t>
  </si>
  <si>
    <t>https://www.themoviedb.org/search?query=Hotel%20Cocaine%202024</t>
  </si>
  <si>
    <t>Drug trafficking and double loyalties is the central narrative concern supported by the reviewed title synopsis and classification sources.</t>
  </si>
  <si>
    <t>show:33301</t>
  </si>
  <si>
    <t>Franklin &amp; Bash</t>
  </si>
  <si>
    <t>tt1600199</t>
  </si>
  <si>
    <t>33301</t>
  </si>
  <si>
    <t>unconventional-lawyering-and-friendship</t>
  </si>
  <si>
    <t>legal-comedy; workplace-comedy; buddy-comedy</t>
  </si>
  <si>
    <t>witty; lighthearted; energetic; irreverent</t>
  </si>
  <si>
    <t>https://www.imdb.com/title/tt1600199/</t>
  </si>
  <si>
    <t>https://www.themoviedb.org/search?query=Franklin%20%26%20Bash%202011</t>
  </si>
  <si>
    <t>Unconventional lawyering and friendship is the central narrative concern supported by the reviewed title synopsis and classification sources.</t>
  </si>
  <si>
    <t>show:39351</t>
  </si>
  <si>
    <t>Grimm</t>
  </si>
  <si>
    <t>tt1830617</t>
  </si>
  <si>
    <t>39351</t>
  </si>
  <si>
    <t>supernatural-crime-and-heritage</t>
  </si>
  <si>
    <t>police-procedural; urban-fantasy; creature-drama</t>
  </si>
  <si>
    <t>dark; adventurous; suspenseful; atmospheric</t>
  </si>
  <si>
    <t>https://www.imdb.com/title/tt1830617/</t>
  </si>
  <si>
    <t>https://www.themoviedb.org/search?query=Grimm%202011</t>
  </si>
  <si>
    <t>Supernatural crime and heritage is the central narrative concern supported by the reviewed title synopsis and classification sources.</t>
  </si>
  <si>
    <t>show:239000</t>
  </si>
  <si>
    <t>Knight Watchmen</t>
  </si>
  <si>
    <t>tt26694023</t>
  </si>
  <si>
    <t>239000</t>
  </si>
  <si>
    <t>vigilante-justice-in-a-fractured-state</t>
  </si>
  <si>
    <t>dystopian; detective-drama; neo-noir</t>
  </si>
  <si>
    <t>dark; gritty; suspenseful; atmospheric</t>
  </si>
  <si>
    <t>https://www.imdb.com/title/tt26694023/</t>
  </si>
  <si>
    <t>https://www.themoviedb.org/search?query=Knight%20Watchmen%202022</t>
  </si>
  <si>
    <t>Vigilante justice in a fractured state is the central narrative concern supported by the reviewed title synopsis and classification sources.</t>
  </si>
  <si>
    <t>show:32940</t>
  </si>
  <si>
    <t>tt1769411</t>
  </si>
  <si>
    <t>32940</t>
  </si>
  <si>
    <t>crime-morality-and-consequence</t>
  </si>
  <si>
    <t>anthology; courtroom-drama; psychological-drama</t>
  </si>
  <si>
    <t>intense; provocative; somber; character-driven</t>
  </si>
  <si>
    <t>https://www.imdb.com/title/tt1769411/</t>
  </si>
  <si>
    <t>https://www.themoviedb.org/search?query=Accused%202010</t>
  </si>
  <si>
    <t>Crime morality and consequence is the central narrative concern supported by the reviewed title synopsis and classification sources.</t>
  </si>
  <si>
    <t>show:262793</t>
  </si>
  <si>
    <t>PONIES</t>
  </si>
  <si>
    <t>tt33270420</t>
  </si>
  <si>
    <t>262793</t>
  </si>
  <si>
    <t>cold-war-espionage-and-widowhood</t>
  </si>
  <si>
    <t>spy-thriller; period-drama; mystery-drama</t>
  </si>
  <si>
    <t>witty; suspenseful; stylish; character-driven</t>
  </si>
  <si>
    <t>https://www.imdb.com/title/tt33270420/</t>
  </si>
  <si>
    <t>https://www.themoviedb.org/search?query=PONIES%202026</t>
  </si>
  <si>
    <t>Cold war espionage and widowhood is the central narrative concern supported by the reviewed title synopsis and classification sources.</t>
  </si>
  <si>
    <t>show:283297</t>
  </si>
  <si>
    <t>Sterling Point</t>
  </si>
  <si>
    <t>tt35618070</t>
  </si>
  <si>
    <t>283297</t>
  </si>
  <si>
    <t>family-secrets-and-inheritance</t>
  </si>
  <si>
    <t>coming-of-age; family-mystery; romantic-drama</t>
  </si>
  <si>
    <t>warm; emotional; scenic; twisty</t>
  </si>
  <si>
    <t>https://www.imdb.com/title/tt35618070/</t>
  </si>
  <si>
    <t>https://www.themoviedb.org/search?query=Sterling%20Point%202026</t>
  </si>
  <si>
    <t>Family secrets and inheritance is the central narrative concern supported by the reviewed title synopsis and classification sources.</t>
  </si>
  <si>
    <t>show:58937</t>
  </si>
  <si>
    <t>Masters of Sex</t>
  </si>
  <si>
    <t>tt2137109</t>
  </si>
  <si>
    <t>58937</t>
  </si>
  <si>
    <t>sexuality-research-and-relationships</t>
  </si>
  <si>
    <t>biographical-drama; medical-drama; period-drama</t>
  </si>
  <si>
    <t>intimate; cerebral; provocative; character-driven</t>
  </si>
  <si>
    <t>https://www.imdb.com/title/tt2137109/</t>
  </si>
  <si>
    <t>https://www.themoviedb.org/search?query=Masters%20of%20Sex%202013</t>
  </si>
  <si>
    <t>Sexuality research and relationships is the central narrative concern supported by the reviewed title synopsis and classification sources.</t>
  </si>
  <si>
    <t>show:62285</t>
  </si>
  <si>
    <t>Marvel's The Defenders</t>
  </si>
  <si>
    <t>tt4230076</t>
  </si>
  <si>
    <t>62285</t>
  </si>
  <si>
    <t>urban-heroes-and-teamwork</t>
  </si>
  <si>
    <t>superhero; ensemble-action; crime-drama</t>
  </si>
  <si>
    <t>dark; energetic; gritty; adventurous</t>
  </si>
  <si>
    <t>https://www.imdb.com/title/tt4230076/</t>
  </si>
  <si>
    <t>https://www.themoviedb.org/search?query=Marvel%27s%20The%20Defenders%202017</t>
  </si>
  <si>
    <t>Urban heroes and teamwork is the central narrative concern supported by the reviewed title synopsis and classification sources.</t>
  </si>
  <si>
    <t>show:67178</t>
  </si>
  <si>
    <t>Marvel's The Punisher</t>
  </si>
  <si>
    <t>tt5675620</t>
  </si>
  <si>
    <t>67178</t>
  </si>
  <si>
    <t>vigilante-revenge-and-trauma</t>
  </si>
  <si>
    <t>superhero; crime-thriller; military-drama</t>
  </si>
  <si>
    <t>dark; brutal; intense; character-driven</t>
  </si>
  <si>
    <t>https://www.imdb.com/title/tt5675620/</t>
  </si>
  <si>
    <t>https://www.themoviedb.org/search?query=Marvel%27s%20The%20Punisher%202017</t>
  </si>
  <si>
    <t>Vigilante revenge and trauma is the central narrative concern supported by the reviewed title synopsis and classification sources.</t>
  </si>
  <si>
    <t>show:1411</t>
  </si>
  <si>
    <t>Person of Interest</t>
  </si>
  <si>
    <t>tt1839578</t>
  </si>
  <si>
    <t>1411</t>
  </si>
  <si>
    <t>surveillance-and-preventive-justice</t>
  </si>
  <si>
    <t>techno-thriller; crime-procedural; conspiracy-drama</t>
  </si>
  <si>
    <t>cerebral; suspenseful; dark; character-driven</t>
  </si>
  <si>
    <t>https://www.imdb.com/title/tt1839578/</t>
  </si>
  <si>
    <t>https://www.themoviedb.org/search?query=Person%20of%20Interest%202011</t>
  </si>
  <si>
    <t>Surveillance and preventive justice is the central narrative concern supported by the reviewed title synopsis and classification sources.</t>
  </si>
  <si>
    <t>show:45094</t>
  </si>
  <si>
    <t>The Following</t>
  </si>
  <si>
    <t>tt2071645</t>
  </si>
  <si>
    <t>45094</t>
  </si>
  <si>
    <t>cult-violence-and-obsession</t>
  </si>
  <si>
    <t>serial-killer-thriller; police-procedural; cult-drama</t>
  </si>
  <si>
    <t>dark; intense; suspenseful; disturbing</t>
  </si>
  <si>
    <t>https://www.imdb.com/title/tt2071645/</t>
  </si>
  <si>
    <t>https://www.themoviedb.org/search?query=The%20Following%202013</t>
  </si>
  <si>
    <t>Cult violence and obsession is the central narrative concern supported by the reviewed title synopsis and classification sources.</t>
  </si>
  <si>
    <t>show:287167</t>
  </si>
  <si>
    <t>The Hack</t>
  </si>
  <si>
    <t>tt35615598</t>
  </si>
  <si>
    <t>287167</t>
  </si>
  <si>
    <t>phone-hacking-and-institutional-corruption</t>
  </si>
  <si>
    <t>true-crime; journalism-drama; police-procedural</t>
  </si>
  <si>
    <t>serious; tense; investigative; character-driven</t>
  </si>
  <si>
    <t>https://www.imdb.com/title/tt35615598/</t>
  </si>
  <si>
    <t>https://www.themoviedb.org/search?query=The%20Hack%202025</t>
  </si>
  <si>
    <t>Phone hacking and institutional corruption is the central narrative concern supported by the reviewed title synopsis and classification sources.</t>
  </si>
  <si>
    <t>show:60708</t>
  </si>
  <si>
    <t>Gotham</t>
  </si>
  <si>
    <t>tt3749900</t>
  </si>
  <si>
    <t>60708</t>
  </si>
  <si>
    <t>city-corruption-and-vigilante-origins</t>
  </si>
  <si>
    <t>superhero; police-procedural; neo-noir</t>
  </si>
  <si>
    <t>dark; stylized; suspenseful; atmospheric</t>
  </si>
  <si>
    <t>https://www.imdb.com/title/tt3749900/</t>
  </si>
  <si>
    <t>https://www.themoviedb.org/search?query=Gotham%202014</t>
  </si>
  <si>
    <t>City corruption and vigilante origins is the central narrative concern supported by the reviewed title synopsis and classification sources.</t>
  </si>
  <si>
    <t>show:241272</t>
  </si>
  <si>
    <t>The Gathering</t>
  </si>
  <si>
    <t>tt28501949</t>
  </si>
  <si>
    <t>241272</t>
  </si>
  <si>
    <t>teen-violence-and-parental-toxicity</t>
  </si>
  <si>
    <t>teen-thriller; crime-drama; ensemble-drama</t>
  </si>
  <si>
    <t>tense; provocative; suspenseful; character-driven</t>
  </si>
  <si>
    <t>https://www.imdb.com/title/tt28501949/</t>
  </si>
  <si>
    <t>https://www.themoviedb.org/search?query=The%20Gathering%202024</t>
  </si>
  <si>
    <t>Teen violence and parental toxicity is the central narrative concern supported by the reviewed synopsis and classification sources.</t>
  </si>
  <si>
    <t>show:46930</t>
  </si>
  <si>
    <t>Ripper Street</t>
  </si>
  <si>
    <t>tt2183641</t>
  </si>
  <si>
    <t>46930</t>
  </si>
  <si>
    <t>policing-and-social-change</t>
  </si>
  <si>
    <t>historical-procedural; detective-drama; period-drama</t>
  </si>
  <si>
    <t>gritty; atmospheric; cerebral; suspenseful</t>
  </si>
  <si>
    <t>https://www.imdb.com/title/tt2183641/</t>
  </si>
  <si>
    <t>https://www.themoviedb.org/search?query=Ripper%20Street%202012</t>
  </si>
  <si>
    <t>Policing and social change is the central narrative concern supported by the reviewed synopsis and classification sources.</t>
  </si>
  <si>
    <t>show:103768</t>
  </si>
  <si>
    <t>Sweet Tooth</t>
  </si>
  <si>
    <t>tt12809988</t>
  </si>
  <si>
    <t>103768</t>
  </si>
  <si>
    <t>survival-and-found-family</t>
  </si>
  <si>
    <t>post-apocalyptic; adventure-drama; coming-of-age</t>
  </si>
  <si>
    <t>heartfelt; adventurous; hopeful; bittersweet</t>
  </si>
  <si>
    <t>https://www.imdb.com/title/tt12809988/</t>
  </si>
  <si>
    <t>https://www.themoviedb.org/search?query=Sweet%20Tooth%202021</t>
  </si>
  <si>
    <t>Survival and found family is the central narrative concern supported by the reviewed synopsis and classification sources.</t>
  </si>
  <si>
    <t>movie:338969</t>
  </si>
  <si>
    <t>The Toxic Avenger Unrated</t>
  </si>
  <si>
    <t>tt1633359</t>
  </si>
  <si>
    <t>338969</t>
  </si>
  <si>
    <t>corporate-corruption-and-mutant-heroism</t>
  </si>
  <si>
    <t>superhero-comedy; body-horror; splatter</t>
  </si>
  <si>
    <t>gory; absurd; satirical; energetic</t>
  </si>
  <si>
    <t>https://www.imdb.com/title/tt1633359/</t>
  </si>
  <si>
    <t>https://www.themoviedb.org/search?query=The%20Toxic%20Avenger%20Unrated%202025</t>
  </si>
  <si>
    <t>Corporate corruption and mutant heroism is the central narrative concern supported by the reviewed synopsis and classification sources.</t>
  </si>
  <si>
    <t>movie:625560</t>
  </si>
  <si>
    <t>Alpha Quail</t>
  </si>
  <si>
    <t>625560</t>
  </si>
  <si>
    <t>young-adult-friendship-and-absurdity</t>
  </si>
  <si>
    <t>independent-comedy; ensemble-comedy</t>
  </si>
  <si>
    <t>offbeat; irreverent; quirky; lighthearted</t>
  </si>
  <si>
    <t>https://www.imdb.com/find/?q=Alpha%20Quail</t>
  </si>
  <si>
    <t>https://www.themoviedb.org/search?query=Alpha%20Quail%202020</t>
  </si>
  <si>
    <t>Young adult friendship and absurdity is the central narrative concern supported by the reviewed synopsis and classification sources.</t>
  </si>
  <si>
    <t>movie:1035259</t>
  </si>
  <si>
    <t>The Naked Gun</t>
  </si>
  <si>
    <t>tt3402138</t>
  </si>
  <si>
    <t>1035259</t>
  </si>
  <si>
    <t>absurd-police-heroism</t>
  </si>
  <si>
    <t>parody; police-comedy; slapstick</t>
  </si>
  <si>
    <t>absurd; fast-paced; irreverent; playful</t>
  </si>
  <si>
    <t>https://www.imdb.com/title/tt3402138/</t>
  </si>
  <si>
    <t>https://www.themoviedb.org/search?query=The%20Naked%20Gun%202025</t>
  </si>
  <si>
    <t>Absurd police heroism is the central narrative concern supported by the reviewed synopsis and classification sources.</t>
  </si>
  <si>
    <t>movie:449562</t>
  </si>
  <si>
    <t>The Hustle</t>
  </si>
  <si>
    <t>tt1298644</t>
  </si>
  <si>
    <t>449562</t>
  </si>
  <si>
    <t>con-artistry-and-rivalry</t>
  </si>
  <si>
    <t>con-artist-comedy; buddy-comedy; crime-comedy</t>
  </si>
  <si>
    <t>witty; glamorous; playful; energetic</t>
  </si>
  <si>
    <t>https://www.imdb.com/title/tt1298644/</t>
  </si>
  <si>
    <t>https://www.themoviedb.org/search?query=The%20Hustle%202019</t>
  </si>
  <si>
    <t>Con artistry and rivalry is the central narrative concern supported by the reviewed synopsis and classification sources.</t>
  </si>
  <si>
    <t>movie:384018</t>
  </si>
  <si>
    <t>Fast &amp; Furious Presents: Hobbs &amp; Shaw</t>
  </si>
  <si>
    <t>tt6806448</t>
  </si>
  <si>
    <t>384018</t>
  </si>
  <si>
    <t>rival-partnership-against-biothreat</t>
  </si>
  <si>
    <t>buddy-action; spy-action; science-fiction-action</t>
  </si>
  <si>
    <t>kinetic; humorous; spectacular; fast-paced</t>
  </si>
  <si>
    <t>https://www.imdb.com/title/tt6806448/</t>
  </si>
  <si>
    <t>https://www.themoviedb.org/search?query=Fast%20%26%20Furious%20Presents%3A%20Hobbs%20%26%20Shaw%202019</t>
  </si>
  <si>
    <t>Rival partnership against biothreat is the central narrative concern supported by the reviewed synopsis and classification sources.</t>
  </si>
  <si>
    <t>movie:715931</t>
  </si>
  <si>
    <t>Emancipation</t>
  </si>
  <si>
    <t>tt12530246</t>
  </si>
  <si>
    <t>715931</t>
  </si>
  <si>
    <t>escape-from-slavery</t>
  </si>
  <si>
    <t>historical-drama; survival-drama; biographical-drama</t>
  </si>
  <si>
    <t>harrowing; intense; somber; determined</t>
  </si>
  <si>
    <t>https://www.imdb.com/title/tt12530246/</t>
  </si>
  <si>
    <t>https://www.themoviedb.org/search?query=Emancipation%202022</t>
  </si>
  <si>
    <t>Escape from slavery is the central narrative concern supported by the reviewed synopsis and classification sources.</t>
  </si>
  <si>
    <t>movie:882569</t>
  </si>
  <si>
    <t>Guy Ritchie's The Covenant</t>
  </si>
  <si>
    <t>tt4873118</t>
  </si>
  <si>
    <t>882569</t>
  </si>
  <si>
    <t>military-loyalty-and-repayment</t>
  </si>
  <si>
    <t>military-drama; rescue-thriller; survival-drama</t>
  </si>
  <si>
    <t>intense; suspenseful; emotional; gritty</t>
  </si>
  <si>
    <t>https://www.imdb.com/title/tt4873118/</t>
  </si>
  <si>
    <t>https://www.themoviedb.org/search?query=Guy%20Ritchie%27s%20The%20Covenant%202023</t>
  </si>
  <si>
    <t>Military loyalty and repayment is the central narrative concern supported by the reviewed synopsis and classification sources.</t>
  </si>
  <si>
    <t>movie:429351</t>
  </si>
  <si>
    <t>12 Strong</t>
  </si>
  <si>
    <t>tt1413492</t>
  </si>
  <si>
    <t>429351</t>
  </si>
  <si>
    <t>special-forces-and-afghan-alliance</t>
  </si>
  <si>
    <t>military-drama; historical-action; team-drama</t>
  </si>
  <si>
    <t>intense; heroic; suspenseful; patriotic</t>
  </si>
  <si>
    <t>https://www.imdb.com/title/tt1413492/</t>
  </si>
  <si>
    <t>https://www.themoviedb.org/search?query=12%20Strong%202018</t>
  </si>
  <si>
    <t>Special forces and afghan alliance is the central narrative concern supported by the reviewed synopsis and classification sources.</t>
  </si>
  <si>
    <t>movie:293767</t>
  </si>
  <si>
    <t>Billy Lynn's Long Halftime Walk</t>
  </si>
  <si>
    <t>tt2513074</t>
  </si>
  <si>
    <t>293767</t>
  </si>
  <si>
    <t>combat-trauma-and-public-mythmaking</t>
  </si>
  <si>
    <t>war-drama; psychological-drama; media-satire</t>
  </si>
  <si>
    <t>reflective; emotional; somber; intimate</t>
  </si>
  <si>
    <t>https://www.imdb.com/title/tt2513074/</t>
  </si>
  <si>
    <t>https://www.themoviedb.org/search?query=Billy%20Lynn%27s%20Long%20Halftime%20Walk%202016</t>
  </si>
  <si>
    <t>Combat trauma and public mythmaking is the central narrative concern supported by the reviewed synopsis and classification sources.</t>
  </si>
  <si>
    <t>movie:442065</t>
  </si>
  <si>
    <t>The Last Full Measure</t>
  </si>
  <si>
    <t>tt0783640</t>
  </si>
  <si>
    <t>442065</t>
  </si>
  <si>
    <t>military-sacrifice-and-delayed-recognition</t>
  </si>
  <si>
    <t>historical-drama; biographical-drama; investigative-drama</t>
  </si>
  <si>
    <t>somber; inspirational; emotional; reflective</t>
  </si>
  <si>
    <t>https://www.imdb.com/title/tt0783640/</t>
  </si>
  <si>
    <t>https://www.themoviedb.org/search?query=The%20Last%20Full%20Measure%202020</t>
  </si>
  <si>
    <t>Military sacrifice and delayed recognition is the central narrative concern supported by the reviewed synopsis and classification sources.</t>
  </si>
  <si>
    <t>movie:28730</t>
  </si>
  <si>
    <t>Live from Baghdad</t>
  </si>
  <si>
    <t>tt0319758</t>
  </si>
  <si>
    <t>28730</t>
  </si>
  <si>
    <t>war-journalism-and-broadcasting</t>
  </si>
  <si>
    <t>journalism-drama; historical-drama; war-drama</t>
  </si>
  <si>
    <t>tense; immersive; cerebral; serious</t>
  </si>
  <si>
    <t>https://www.imdb.com/title/tt0319758/</t>
  </si>
  <si>
    <t>https://www.themoviedb.org/search?query=Live%20from%20Baghdad%202002</t>
  </si>
  <si>
    <t>War journalism and broadcasting is the central narrative concern supported by the reviewed synopsis and classification sources.</t>
  </si>
  <si>
    <t>Batch 16</t>
  </si>
  <si>
    <t>movie:1439930</t>
  </si>
  <si>
    <t>The Punisher: One Last Kill</t>
  </si>
  <si>
    <t>tt36042156</t>
  </si>
  <si>
    <t>1439930</t>
  </si>
  <si>
    <t>purpose-beyond-revenge</t>
  </si>
  <si>
    <t>superhero; vigilante-action; psychological-thriller</t>
  </si>
  <si>
    <t>brutal; intense; emotional; dark</t>
  </si>
  <si>
    <t>https://www.imdb.com/title/tt36042156/</t>
  </si>
  <si>
    <t>https://www.themoviedb.org/search?query=The%20Punisher%3A%20One%20Last%20Kill%202026</t>
  </si>
  <si>
    <t>Purpose beyond revenge is the central narrative concern supported by the reviewed synopsis and classification sources.</t>
  </si>
  <si>
    <t>movie:832964</t>
  </si>
  <si>
    <t>Lee</t>
  </si>
  <si>
    <t>tt5112584</t>
  </si>
  <si>
    <t>832964</t>
  </si>
  <si>
    <t>war-photography-and-witness</t>
  </si>
  <si>
    <t>war-drama; journalism-drama; historical-drama</t>
  </si>
  <si>
    <t>somber; courageous; intense; reflective</t>
  </si>
  <si>
    <t>https://www.imdb.com/title/tt5112584/</t>
  </si>
  <si>
    <t>https://www.themoviedb.org/search?query=Lee%202024</t>
  </si>
  <si>
    <t>War photography and witness is the central narrative concern supported by the reviewed synopsis and classification sources.</t>
  </si>
  <si>
    <t>movie:82693</t>
  </si>
  <si>
    <t>Silver Linings Playbook</t>
  </si>
  <si>
    <t>tt1045658</t>
  </si>
  <si>
    <t>82693</t>
  </si>
  <si>
    <t>romantic-dramedy; family-drama; character-study</t>
  </si>
  <si>
    <t>warm; quirky; emotional; hopeful</t>
  </si>
  <si>
    <t>https://www.imdb.com/title/tt1045658/</t>
  </si>
  <si>
    <t>https://www.themoviedb.org/search?query=Silver%20Linings%20Playbook%202012</t>
  </si>
  <si>
    <t>Mental health and connection is the central narrative concern supported by the reviewed synopsis and classification sources.</t>
  </si>
  <si>
    <t>movie:1093883</t>
  </si>
  <si>
    <t>Top Shot</t>
  </si>
  <si>
    <t>tt21627964</t>
  </si>
  <si>
    <t>1093883</t>
  </si>
  <si>
    <t>marksmanship-competition</t>
  </si>
  <si>
    <t>reality-competition; sports-series</t>
  </si>
  <si>
    <t>competitive; suspenseful; energetic; skill-focused</t>
  </si>
  <si>
    <t>https://www.imdb.com/title/tt21627964/</t>
  </si>
  <si>
    <t>https://www.themoviedb.org/search?query=Top%20Shot%202023</t>
  </si>
  <si>
    <t>Marksmanship competition is the central narrative concern supported by the reviewed synopsis and classification sources.</t>
  </si>
  <si>
    <t>movie:59440</t>
  </si>
  <si>
    <t>tt1291584</t>
  </si>
  <si>
    <t>59440</t>
  </si>
  <si>
    <t>family-rivalry-and-mixed-martial-arts</t>
  </si>
  <si>
    <t>mma-drama; family-drama; redemption-drama</t>
  </si>
  <si>
    <t>https://www.imdb.com/title/tt1291584/</t>
  </si>
  <si>
    <t>https://www.themoviedb.org/search?query=Warrior%202011</t>
  </si>
  <si>
    <t>Family rivalry and mixed martial arts is the central narrative concern supported by the reviewed synopsis and classification sources.</t>
  </si>
  <si>
    <t>movie:1429813</t>
  </si>
  <si>
    <t>How I Spent My Summer Vacation</t>
  </si>
  <si>
    <t>tt35527322</t>
  </si>
  <si>
    <t>1429813</t>
  </si>
  <si>
    <t>criminal-survival-in-prison</t>
  </si>
  <si>
    <t>prison-thriller; crime-action; dark-comedy</t>
  </si>
  <si>
    <t>gritty; violent; witty; fast-paced</t>
  </si>
  <si>
    <t>https://www.imdb.com/title/tt35527322/</t>
  </si>
  <si>
    <t>https://www.themoviedb.org/search?query=How%20I%20Spent%20My%20Summer%20Vacation%20None</t>
  </si>
  <si>
    <t>Criminal survival in prison is the central narrative concern supported by the reviewed synopsis and classification sources.</t>
  </si>
  <si>
    <t>movie:13074</t>
  </si>
  <si>
    <t>Resurrecting the Champ</t>
  </si>
  <si>
    <t>tt0416185</t>
  </si>
  <si>
    <t>13074</t>
  </si>
  <si>
    <t>journalistic-ethics-and-identity</t>
  </si>
  <si>
    <t>sports-drama; journalism-drama; character-study</t>
  </si>
  <si>
    <t>reflective; emotional; serious; character-driven</t>
  </si>
  <si>
    <t>https://www.imdb.com/title/tt0416185/</t>
  </si>
  <si>
    <t>https://www.themoviedb.org/search?query=Resurrecting%20the%20Champ%202007</t>
  </si>
  <si>
    <t>Journalistic ethics and identity is the central narrative concern supported by the reviewed synopsis and classification sources.</t>
  </si>
  <si>
    <t>movie:39254</t>
  </si>
  <si>
    <t>Real Steel</t>
  </si>
  <si>
    <t>tt0433035</t>
  </si>
  <si>
    <t>39254</t>
  </si>
  <si>
    <t>father-son-reconnection</t>
  </si>
  <si>
    <t>robot-boxing; sports-drama; family-drama</t>
  </si>
  <si>
    <t>uplifting; energetic; heartfelt; inspirational</t>
  </si>
  <si>
    <t>https://www.imdb.com/title/tt0433035/</t>
  </si>
  <si>
    <t>https://www.themoviedb.org/search?query=Real%20Steel%202011</t>
  </si>
  <si>
    <t>Father son reconnection is the central narrative concern supported by the reviewed synopsis and classification sources.</t>
  </si>
  <si>
    <t>movie:1246</t>
  </si>
  <si>
    <t>Rocky Balboa</t>
  </si>
  <si>
    <t>tt0479143</t>
  </si>
  <si>
    <t>1246</t>
  </si>
  <si>
    <t>aging-legacy-and-one-final-fight</t>
  </si>
  <si>
    <t>inspirational; nostalgic; heartfelt; determined</t>
  </si>
  <si>
    <t>https://www.imdb.com/title/tt0479143/</t>
  </si>
  <si>
    <t>https://www.themoviedb.org/search?query=Rocky%20Balboa%202006</t>
  </si>
  <si>
    <t>Aging legacy and one final fight is the central narrative concern supported by the reviewed synopsis and classification sources.</t>
  </si>
  <si>
    <t>movie:506680</t>
  </si>
  <si>
    <t>Unbroken: Path to Redemption</t>
  </si>
  <si>
    <t>tt7339792</t>
  </si>
  <si>
    <t>506680</t>
  </si>
  <si>
    <t>trauma-faith-and-recovery</t>
  </si>
  <si>
    <t>faith-drama; recovery-drama; historical-drama</t>
  </si>
  <si>
    <t>inspirational; somber; hopeful; emotional</t>
  </si>
  <si>
    <t>https://www.imdb.com/title/tt7339792/</t>
  </si>
  <si>
    <t>https://www.themoviedb.org/search?query=Unbroken%3A%20Path%20to%20Redemption%202018</t>
  </si>
  <si>
    <t>Trauma faith and recovery is the central narrative concern supported by the reviewed synopsis and classification sources.</t>
  </si>
  <si>
    <t>movie:1380682</t>
  </si>
  <si>
    <t>The Last Rodeo</t>
  </si>
  <si>
    <t>tt30908405</t>
  </si>
  <si>
    <t>1380682</t>
  </si>
  <si>
    <t>family-sacrifice-and-redemption</t>
  </si>
  <si>
    <t>rodeo-drama; family-drama; comeback-drama</t>
  </si>
  <si>
    <t>heartfelt; inspirational; rugged; emotional</t>
  </si>
  <si>
    <t>https://www.imdb.com/title/tt30908405/</t>
  </si>
  <si>
    <t>https://www.themoviedb.org/search?query=The%20Last%20Rodeo%202025</t>
  </si>
  <si>
    <t>Family sacrifice and redemption is the central narrative concern supported by the reviewed synopsis and classification sources.</t>
  </si>
  <si>
    <t>show:150</t>
  </si>
  <si>
    <t>This Life</t>
  </si>
  <si>
    <t>1996</t>
  </si>
  <si>
    <t>tt0115390</t>
  </si>
  <si>
    <t>150</t>
  </si>
  <si>
    <t>young-professionals-and-relationships</t>
  </si>
  <si>
    <t>legal-drama; ensemble-drama; relationship-drama</t>
  </si>
  <si>
    <t>candid; witty; character-driven; dramatic</t>
  </si>
  <si>
    <t>https://www.imdb.com/title/tt0115390/</t>
  </si>
  <si>
    <t>https://www.themoviedb.org/search?query=This%20Life%201996</t>
  </si>
  <si>
    <t>Young professionals and relationships is the central narrative concern supported by the reviewed synopsis and classification sources.</t>
  </si>
  <si>
    <t>show:253</t>
  </si>
  <si>
    <t>Star Trek</t>
  </si>
  <si>
    <t>1966</t>
  </si>
  <si>
    <t>tt0060028</t>
  </si>
  <si>
    <t>253</t>
  </si>
  <si>
    <t>space-exploration-and-humanism</t>
  </si>
  <si>
    <t>space-opera; adventure; philosophical-drama</t>
  </si>
  <si>
    <t>adventurous; optimistic; cerebral; iconic</t>
  </si>
  <si>
    <t>https://www.imdb.com/title/tt0060028/</t>
  </si>
  <si>
    <t>https://www.themoviedb.org/search?query=Star%20Trek%201966</t>
  </si>
  <si>
    <t>Space exploration and humanism is the central narrative concern supported by the reviewed synopsis and classification sources.</t>
  </si>
  <si>
    <t>show:208397</t>
  </si>
  <si>
    <t>School Spirits</t>
  </si>
  <si>
    <t>tt21057450</t>
  </si>
  <si>
    <t>208397</t>
  </si>
  <si>
    <t>afterlife-mystery-and-identity</t>
  </si>
  <si>
    <t>supernatural-mystery; teen-drama; coming-of-age</t>
  </si>
  <si>
    <t>mysterious; witty; emotional; suspenseful</t>
  </si>
  <si>
    <t>https://www.imdb.com/title/tt21057450/</t>
  </si>
  <si>
    <t>https://www.themoviedb.org/search?query=School%20Spirits%202023</t>
  </si>
  <si>
    <t>Afterlife mystery and identity is the central narrative concern supported by the reviewed synopsis and classification sources.</t>
  </si>
  <si>
    <t>show:2681</t>
  </si>
  <si>
    <t>Off Centre</t>
  </si>
  <si>
    <t>tt0285391</t>
  </si>
  <si>
    <t>2681</t>
  </si>
  <si>
    <t>young-adult-friendship-and-dating</t>
  </si>
  <si>
    <t>sitcom; buddy-comedy; relationship-comedy</t>
  </si>
  <si>
    <t>raunchy; lighthearted; energetic; irreverent</t>
  </si>
  <si>
    <t>https://www.imdb.com/title/tt0285391/</t>
  </si>
  <si>
    <t>https://www.themoviedb.org/search?query=Off%20Centre%202001</t>
  </si>
  <si>
    <t>Young adult friendship and dating is the central narrative concern supported by the reviewed synopsis and classification sources.</t>
  </si>
  <si>
    <t>show:72742</t>
  </si>
  <si>
    <t>Bad Blood</t>
  </si>
  <si>
    <t>tt6423364</t>
  </si>
  <si>
    <t>72742</t>
  </si>
  <si>
    <t>organized-crime-and-family-loyalty</t>
  </si>
  <si>
    <t>gangster; biographical-drama; family-drama</t>
  </si>
  <si>
    <t>gritty; tense; violent; character-driven</t>
  </si>
  <si>
    <t>https://www.imdb.com/title/tt6423364/</t>
  </si>
  <si>
    <t>https://www.themoviedb.org/search?query=Bad%20Blood%202017</t>
  </si>
  <si>
    <t>Organized crime and family loyalty is the central narrative concern supported by the reviewed synopsis and classification sources.</t>
  </si>
  <si>
    <t>show:60791</t>
  </si>
  <si>
    <t>American Crime</t>
  </si>
  <si>
    <t>tt3488298</t>
  </si>
  <si>
    <t>60791</t>
  </si>
  <si>
    <t>crime-and-social-inequality</t>
  </si>
  <si>
    <t>anthology; social-drama; legal-drama</t>
  </si>
  <si>
    <t>serious; provocative; bleak; character-driven</t>
  </si>
  <si>
    <t>https://www.imdb.com/title/tt3488298/</t>
  </si>
  <si>
    <t>https://www.themoviedb.org/search?query=American%20Crime%202015</t>
  </si>
  <si>
    <t>Crime and social inequality is the central narrative concern supported by the reviewed synopsis and classification sources.</t>
  </si>
  <si>
    <t>movie:442249</t>
  </si>
  <si>
    <t>The First Purge</t>
  </si>
  <si>
    <t>tt6133466</t>
  </si>
  <si>
    <t>442249</t>
  </si>
  <si>
    <t>state-engineered-violence-and-resistance</t>
  </si>
  <si>
    <t>dystopian-horror; action-horror; political-thriller</t>
  </si>
  <si>
    <t>violent; tense; provocative; suspenseful</t>
  </si>
  <si>
    <t>https://www.imdb.com/title/tt6133466/</t>
  </si>
  <si>
    <t>https://www.themoviedb.org/search?query=The%20First%20Purge%202018</t>
  </si>
  <si>
    <t>State engineered violence and resistance is the central narrative concern supported by the reviewed synopsis and classification sources.</t>
  </si>
  <si>
    <t>movie:98</t>
  </si>
  <si>
    <t>Gladiator</t>
  </si>
  <si>
    <t>tt0172495</t>
  </si>
  <si>
    <t>98</t>
  </si>
  <si>
    <t>revenge-against-tyranny</t>
  </si>
  <si>
    <t>historical-epic; sword-and-sandal; revenge-drama</t>
  </si>
  <si>
    <t>epic; intense; tragic; heroic</t>
  </si>
  <si>
    <t>https://www.imdb.com/title/tt0172495/</t>
  </si>
  <si>
    <t>https://www.themoviedb.org/search?query=Gladiator%202000</t>
  </si>
  <si>
    <t>Revenge against tyranny is the central narrative concern supported by the reviewed synopsis and classification sources.</t>
  </si>
  <si>
    <t>show:71694</t>
  </si>
  <si>
    <t>Snowfall</t>
  </si>
  <si>
    <t>tt6439752</t>
  </si>
  <si>
    <t>71694</t>
  </si>
  <si>
    <t>crack-epidemic-and-criminal-ambition</t>
  </si>
  <si>
    <t>drug-crime; historical-drama; family-drama</t>
  </si>
  <si>
    <t>gritty; intense; tragic; character-driven</t>
  </si>
  <si>
    <t>https://www.imdb.com/title/tt6439752/</t>
  </si>
  <si>
    <t>https://www.themoviedb.org/search?query=Snowfall%202017</t>
  </si>
  <si>
    <t>Crack epidemic and criminal ambition is the central narrative concern supported by the reviewed synopsis and classification sources.</t>
  </si>
  <si>
    <t>show:81358</t>
  </si>
  <si>
    <t>Mr Inbetween</t>
  </si>
  <si>
    <t>tt7472896</t>
  </si>
  <si>
    <t>81358</t>
  </si>
  <si>
    <t>criminal-work-and-family-life</t>
  </si>
  <si>
    <t>dark-comedy; hitman-drama; family-drama</t>
  </si>
  <si>
    <t>darkly-comic; gritty; intimate; character-driven</t>
  </si>
  <si>
    <t>https://www.imdb.com/title/tt7472896/</t>
  </si>
  <si>
    <t>https://www.themoviedb.org/search?query=Mr%20Inbetween%202018</t>
  </si>
  <si>
    <t>Criminal work and family life is the central narrative concern supported by the reviewed synopsis and classification sources.</t>
  </si>
  <si>
    <t>show:97890</t>
  </si>
  <si>
    <t>Power Book II: Ghost</t>
  </si>
  <si>
    <t>tt10732104</t>
  </si>
  <si>
    <t>97890</t>
  </si>
  <si>
    <t>crime-legacy-and-double-life</t>
  </si>
  <si>
    <t>drug-crime; family-drama; campus-drama</t>
  </si>
  <si>
    <t>tense; gritty; suspenseful; character-driven</t>
  </si>
  <si>
    <t>https://www.imdb.com/title/tt10732104/</t>
  </si>
  <si>
    <t>https://www.themoviedb.org/search?query=Power%20Book%20II%3A%20Ghost%202020</t>
  </si>
  <si>
    <t>Crime legacy and double life is the central narrative concern supported by the reviewed synopsis and classification sources.</t>
  </si>
  <si>
    <t>show:2288</t>
  </si>
  <si>
    <t>Prison Break</t>
  </si>
  <si>
    <t>tt0455275</t>
  </si>
  <si>
    <t>2288</t>
  </si>
  <si>
    <t>escape-and-conspiracy</t>
  </si>
  <si>
    <t>prison-drama; conspiracy-thriller; action-drama</t>
  </si>
  <si>
    <t>suspenseful; fast-paced; twisty; intense</t>
  </si>
  <si>
    <t>https://www.imdb.com/title/tt0455275/</t>
  </si>
  <si>
    <t>https://www.themoviedb.org/search?query=Prison%20Break%202005</t>
  </si>
  <si>
    <t>Escape and conspiracy is the central narrative concern supported by the reviewed synopsis and classification sources.</t>
  </si>
  <si>
    <t>show:1906</t>
  </si>
  <si>
    <t>tt0377260</t>
  </si>
  <si>
    <t>1906</t>
  </si>
  <si>
    <t>working-class-family-survival</t>
  </si>
  <si>
    <t>family-dramedy; social-realism; ensemble-comedy</t>
  </si>
  <si>
    <t>raw; funny; chaotic; heartfelt</t>
  </si>
  <si>
    <t>https://www.imdb.com/title/tt0377260/</t>
  </si>
  <si>
    <t>https://www.themoviedb.org/search?query=Shameless%202004</t>
  </si>
  <si>
    <t>Working class family survival is the central narrative concern supported by the reviewed synopsis and classification sources.</t>
  </si>
  <si>
    <t>show:124394</t>
  </si>
  <si>
    <t>Power Book III: Raising Kanan</t>
  </si>
  <si>
    <t>tt11761176</t>
  </si>
  <si>
    <t>124394</t>
  </si>
  <si>
    <t>criminal-coming-of-age</t>
  </si>
  <si>
    <t>drug-crime; coming-of-age; family-drama</t>
  </si>
  <si>
    <t>gritty; tense; character-driven; tragic</t>
  </si>
  <si>
    <t>https://www.imdb.com/title/tt11761176/</t>
  </si>
  <si>
    <t>https://www.themoviedb.org/search?query=Power%20Book%20III%3A%20Raising%20Kanan%202021</t>
  </si>
  <si>
    <t>Criminal coming of age is the central narrative concern supported by the reviewed synopsis and classification sources.</t>
  </si>
  <si>
    <t>show:105</t>
  </si>
  <si>
    <t>Sex and the City</t>
  </si>
  <si>
    <t>1998</t>
  </si>
  <si>
    <t>tt0159206</t>
  </si>
  <si>
    <t>105</t>
  </si>
  <si>
    <t>friendship-love-and-urban-adulthood</t>
  </si>
  <si>
    <t>romantic-comedy; friendship-comedy; city-comedy</t>
  </si>
  <si>
    <t>witty; stylish; candid; warm</t>
  </si>
  <si>
    <t>https://www.imdb.com/title/tt0159206/</t>
  </si>
  <si>
    <t>https://www.themoviedb.org/search?query=Sex%20and%20the%20City%201998</t>
  </si>
  <si>
    <t>Friendship love and urban adulthood is the central narrative concern supported by the reviewed synopsis and classification sources.</t>
  </si>
  <si>
    <t>show:41692</t>
  </si>
  <si>
    <t>Lonesome Dove</t>
  </si>
  <si>
    <t>tt0096639</t>
  </si>
  <si>
    <t>41692</t>
  </si>
  <si>
    <t>friendship-and-frontier-journey</t>
  </si>
  <si>
    <t>historical-western; cattle-drive; miniseries</t>
  </si>
  <si>
    <t>epic; rugged; emotional; character-driven</t>
  </si>
  <si>
    <t>https://www.imdb.com/title/tt0096639/</t>
  </si>
  <si>
    <t>https://www.themoviedb.org/search?query=Lonesome%20Dove%201989</t>
  </si>
  <si>
    <t>Friendship and frontier journey is the central narrative concern supported by the reviewed synopsis and classification sources.</t>
  </si>
  <si>
    <t>show:54650</t>
  </si>
  <si>
    <t>Power</t>
  </si>
  <si>
    <t>tt3281796</t>
  </si>
  <si>
    <t>54650</t>
  </si>
  <si>
    <t>crime-ambition-and-double-life</t>
  </si>
  <si>
    <t>drug-crime; gangster; family-drama</t>
  </si>
  <si>
    <t>https://www.imdb.com/title/tt3281796/</t>
  </si>
  <si>
    <t>https://www.themoviedb.org/search?query=Power%202014</t>
  </si>
  <si>
    <t>Crime ambition and double life is the central narrative concern supported by the reviewed synopsis and classification sources.</t>
  </si>
  <si>
    <t>show:101591</t>
  </si>
  <si>
    <t>BMF</t>
  </si>
  <si>
    <t>tt3850598</t>
  </si>
  <si>
    <t>101591</t>
  </si>
  <si>
    <t>family-loyalty-and-drug-empire</t>
  </si>
  <si>
    <t>drug-crime; biographical-drama; family-drama</t>
  </si>
  <si>
    <t>gritty; ambitious; intense; character-driven</t>
  </si>
  <si>
    <t>https://www.imdb.com/title/tt3850598/</t>
  </si>
  <si>
    <t>https://www.themoviedb.org/search?query=BMF%202021</t>
  </si>
  <si>
    <t>Family loyalty and drug empire is the central narrative concern supported by the reviewed synopsis and classification sources.</t>
  </si>
  <si>
    <t>show:85021</t>
  </si>
  <si>
    <t>Gangs of London</t>
  </si>
  <si>
    <t>tt7661390</t>
  </si>
  <si>
    <t>85021</t>
  </si>
  <si>
    <t>criminal-succession-and-power-war</t>
  </si>
  <si>
    <t>gangster; action-crime; family-drama</t>
  </si>
  <si>
    <t>brutal; kinetic; tense; stylish</t>
  </si>
  <si>
    <t>https://www.imdb.com/title/tt7661390/</t>
  </si>
  <si>
    <t>https://www.themoviedb.org/search?query=Gangs%20of%20London%202020</t>
  </si>
  <si>
    <t>Criminal succession and power war is the central narrative concern supported by the reviewed synopsis and classification sources.</t>
  </si>
  <si>
    <t>show:75540</t>
  </si>
  <si>
    <t>Seven Seconds</t>
  </si>
  <si>
    <t>tt6297682</t>
  </si>
  <si>
    <t>75540</t>
  </si>
  <si>
    <t>racial-injustice-and-cover-up</t>
  </si>
  <si>
    <t>police-drama; legal-drama; mystery-drama</t>
  </si>
  <si>
    <t>bleak; serious; tense; emotional</t>
  </si>
  <si>
    <t>https://www.imdb.com/title/tt6297682/</t>
  </si>
  <si>
    <t>https://www.themoviedb.org/search?query=Seven%20Seconds%202018</t>
  </si>
  <si>
    <t>Racial injustice and cover up is the central narrative concern supported by the reviewed synopsis and classification sources.</t>
  </si>
  <si>
    <t>show:79410</t>
  </si>
  <si>
    <t>After Life</t>
  </si>
  <si>
    <t>tt8398600</t>
  </si>
  <si>
    <t>79410</t>
  </si>
  <si>
    <t>grief-and-reconnection</t>
  </si>
  <si>
    <t>dark-comedy; grief-drama; workplace-comedy</t>
  </si>
  <si>
    <t>bittersweet; darkly-comic; warm; reflective</t>
  </si>
  <si>
    <t>https://www.imdb.com/title/tt8398600/</t>
  </si>
  <si>
    <t>https://www.themoviedb.org/search?query=After%20Life%202019</t>
  </si>
  <si>
    <t>Grief and reconnection is the central narrative concern supported by the reviewed synopsis and classification sources.</t>
  </si>
  <si>
    <t>show:17035</t>
  </si>
  <si>
    <t>Generation Kill</t>
  </si>
  <si>
    <t>tt0995832</t>
  </si>
  <si>
    <t>17035</t>
  </si>
  <si>
    <t>modern-combat-and-leadership-failure</t>
  </si>
  <si>
    <t>military-drama; docudrama; ensemble-drama</t>
  </si>
  <si>
    <t>gritty; realistic; sardonic; intense</t>
  </si>
  <si>
    <t>https://www.imdb.com/title/tt0995832/</t>
  </si>
  <si>
    <t>https://www.themoviedb.org/search?query=Generation%20Kill%202008</t>
  </si>
  <si>
    <t>Modern combat and leadership failure is the central narrative concern supported by the reviewed synopsis and classification sources.</t>
  </si>
  <si>
    <t>show:113984</t>
  </si>
  <si>
    <t>Anatomy of a Scandal</t>
  </si>
  <si>
    <t>tt12748084</t>
  </si>
  <si>
    <t>113984</t>
  </si>
  <si>
    <t>privilege-consent-and-justice</t>
  </si>
  <si>
    <t>legal-thriller; political-drama; psychological-drama</t>
  </si>
  <si>
    <t>tense; provocative; polished; twisty</t>
  </si>
  <si>
    <t>https://www.imdb.com/title/tt12748084/</t>
  </si>
  <si>
    <t>https://www.themoviedb.org/search?query=Anatomy%20of%20a%20Scandal%202022</t>
  </si>
  <si>
    <t>Privilege consent and justice is the central narrative concern supported by the reviewed synopsis and classification sources.</t>
  </si>
  <si>
    <t>show:64254</t>
  </si>
  <si>
    <t>Master of None</t>
  </si>
  <si>
    <t>tt4635276</t>
  </si>
  <si>
    <t>64254</t>
  </si>
  <si>
    <t>adult-identity-and-relationships</t>
  </si>
  <si>
    <t>romantic-dramedy; slice-of-life; city-comedy</t>
  </si>
  <si>
    <t>witty; reflective; warm; bittersweet</t>
  </si>
  <si>
    <t>https://www.imdb.com/title/tt4635276/</t>
  </si>
  <si>
    <t>https://www.themoviedb.org/search?query=Master%20of%20None%202015</t>
  </si>
  <si>
    <t>Adult identity and relationships is the central narrative concern supported by the reviewed synopsis and classification sources.</t>
  </si>
  <si>
    <t>show:4057</t>
  </si>
  <si>
    <t>Criminal Minds</t>
  </si>
  <si>
    <t>tt0452046</t>
  </si>
  <si>
    <t>4057</t>
  </si>
  <si>
    <t>behavioral-profiling-and-violent-crime</t>
  </si>
  <si>
    <t>police-procedural; psychological-thriller; ensemble-drama</t>
  </si>
  <si>
    <t>dark; suspenseful; procedural; character-driven</t>
  </si>
  <si>
    <t>https://www.imdb.com/title/tt0452046/</t>
  </si>
  <si>
    <t>https://www.themoviedb.org/search?query=Criminal%20Minds%202005</t>
  </si>
  <si>
    <t>Behavioral profiling and violent crime is the central narrative concern supported by the reviewed synopsis and classification sources.</t>
  </si>
  <si>
    <t>show:245703</t>
  </si>
  <si>
    <t>Dept. Q</t>
  </si>
  <si>
    <t>tt27995114</t>
  </si>
  <si>
    <t>245703</t>
  </si>
  <si>
    <t>cold-case-investigation-and-trauma</t>
  </si>
  <si>
    <t>detective-drama; nordic-noir; mystery</t>
  </si>
  <si>
    <t>dark; cerebral; suspenseful; character-driven</t>
  </si>
  <si>
    <t>https://www.imdb.com/title/tt27995114/</t>
  </si>
  <si>
    <t>https://www.themoviedb.org/search?query=Dept.%20Q</t>
  </si>
  <si>
    <t>Cold case investigation and trauma is the central narrative concern.</t>
  </si>
  <si>
    <t>show:253321</t>
  </si>
  <si>
    <t>The Better Sister</t>
  </si>
  <si>
    <t>tt32260680</t>
  </si>
  <si>
    <t>253321</t>
  </si>
  <si>
    <t>family-secrets-and-murder</t>
  </si>
  <si>
    <t>domestic-thriller; mystery-drama; family-drama</t>
  </si>
  <si>
    <t>tense; twisty; emotional; suspenseful</t>
  </si>
  <si>
    <t>https://www.imdb.com/title/tt32260680/</t>
  </si>
  <si>
    <t>https://www.themoviedb.org/search?query=The%20Better%20Sister</t>
  </si>
  <si>
    <t>Family secrets and murder is the central narrative concern.</t>
  </si>
  <si>
    <t>show:284605</t>
  </si>
  <si>
    <t>The Survivors</t>
  </si>
  <si>
    <t>tt28703560</t>
  </si>
  <si>
    <t>284605</t>
  </si>
  <si>
    <t>grief-and-small-town-secrets</t>
  </si>
  <si>
    <t>crime-mystery; family-drama; coastal-noir</t>
  </si>
  <si>
    <t>atmospheric; somber; suspenseful; character-driven</t>
  </si>
  <si>
    <t>https://www.imdb.com/title/tt28703560/</t>
  </si>
  <si>
    <t>https://www.themoviedb.org/search?query=The%20Survivors</t>
  </si>
  <si>
    <t>Grief and small town secrets is the central narrative concern.</t>
  </si>
  <si>
    <t>show:226174</t>
  </si>
  <si>
    <t>Matlock</t>
  </si>
  <si>
    <t>tt26591147</t>
  </si>
  <si>
    <t>226174</t>
  </si>
  <si>
    <t>justice-and-late-career-reinvention</t>
  </si>
  <si>
    <t>legal-drama; mystery; procedural</t>
  </si>
  <si>
    <t>witty; clever; engaging; character-driven</t>
  </si>
  <si>
    <t>https://www.imdb.com/title/tt26591147/</t>
  </si>
  <si>
    <t>https://www.themoviedb.org/search?query=Matlock</t>
  </si>
  <si>
    <t>Justice and late career reinvention is the central narrative concern.</t>
  </si>
  <si>
    <t>show:287450</t>
  </si>
  <si>
    <t>Secret Service</t>
  </si>
  <si>
    <t>tt32477632</t>
  </si>
  <si>
    <t>287450</t>
  </si>
  <si>
    <t>presidential-protection-and-conspiracy</t>
  </si>
  <si>
    <t>political-thriller; action-drama; espionage</t>
  </si>
  <si>
    <t>tense; suspenseful; fast-paced; serious</t>
  </si>
  <si>
    <t>https://www.imdb.com/title/tt32477632/</t>
  </si>
  <si>
    <t>https://www.themoviedb.org/search?query=Secret%20Service</t>
  </si>
  <si>
    <t>Presidential protection and conspiracy is the central narrative concern.</t>
  </si>
  <si>
    <t>show:248937</t>
  </si>
  <si>
    <t>Hostage</t>
  </si>
  <si>
    <t>tt31407004</t>
  </si>
  <si>
    <t>248937</t>
  </si>
  <si>
    <t>political-crisis-and-negotiation</t>
  </si>
  <si>
    <t>hostage-thriller; political-drama; conspiracy</t>
  </si>
  <si>
    <t>tense; claustrophobic; suspenseful; dramatic</t>
  </si>
  <si>
    <t>https://www.imdb.com/title/tt31407004/</t>
  </si>
  <si>
    <t>https://www.themoviedb.org/search?query=Hostage</t>
  </si>
  <si>
    <t>Political crisis and negotiation is the central narrative concern.</t>
  </si>
  <si>
    <t>show:273866</t>
  </si>
  <si>
    <t>The Other Bennet Sister</t>
  </si>
  <si>
    <t>tt37022512</t>
  </si>
  <si>
    <t>273866</t>
  </si>
  <si>
    <t>self-discovery-and-family-expectation</t>
  </si>
  <si>
    <t>period-drama; literary-adaptation; romance</t>
  </si>
  <si>
    <t>warm; reflective; romantic; character-driven</t>
  </si>
  <si>
    <t>https://www.imdb.com/title/tt37022512/</t>
  </si>
  <si>
    <t>https://www.themoviedb.org/search?query=The%20Other%20Bennet%20Sister</t>
  </si>
  <si>
    <t>Self discovery and family expectation is the central narrative concern.</t>
  </si>
  <si>
    <t>Metadata Research Progress</t>
  </si>
  <si>
    <t>Total titles</t>
  </si>
  <si>
    <t>Subject researched only</t>
  </si>
  <si>
    <t>Not started</t>
  </si>
  <si>
    <t>Needs review</t>
  </si>
  <si>
    <t>Completion %</t>
  </si>
  <si>
    <t>Titles</t>
  </si>
  <si>
    <t>Remaining</t>
  </si>
  <si>
    <t>Batch 17</t>
  </si>
  <si>
    <t>Field</t>
  </si>
  <si>
    <t>Cardinality</t>
  </si>
  <si>
    <t>Rule</t>
  </si>
  <si>
    <t>Approved Values / Guidance</t>
  </si>
  <si>
    <t>Exactly 1</t>
  </si>
  <si>
    <t>Central narrative concern; not genre, tone, setting, or plot device</t>
  </si>
  <si>
    <t>Controlled lowercase kebab-case; expand only when a researched title requires a materially distinct reusable subject</t>
  </si>
  <si>
    <t>Primary story setting; use multi-era only when no single period dominates</t>
  </si>
  <si>
    <t>classical-antiquity; medieval; early-modern; 18th-century; 19th-century; late-19th-century; early-20th-century; world-war-i; interwar; world-war-ii; cold-war; late-20th-century; contemporary; near-future; far-future; multi-era; timeless</t>
  </si>
  <si>
    <t>Primary top-level genre</t>
  </si>
  <si>
    <t>drama; comedy; thriller; crime; action; science-fiction; fantasy; horror; mystery; war; western; romance; documentary; animation; adventure; historical; biography; sports</t>
  </si>
  <si>
    <t>1-3</t>
  </si>
  <si>
    <t>Specific classifications beneath genre</t>
  </si>
  <si>
    <t>lowercase kebab-case; semicolon-space delimited; examples: legal-drama; neo-western; workplace-comedy; psychological-thriller; post-apocalyptic</t>
  </si>
  <si>
    <t>2-5</t>
  </si>
  <si>
    <t>Mood and craft descriptors</t>
  </si>
  <si>
    <t>lowercase kebab-case; semicolon-space delimited; examples: gritty; dark; hopeful; suspenseful; witty; satirical; epic; atmospheric; character-driven</t>
  </si>
  <si>
    <t>CLAUDE REVIEW WORKFLOW</t>
  </si>
  <si>
    <t>Instructions for improving the metadata while preserving the workbook as the authoritative record.</t>
  </si>
  <si>
    <t>Objective</t>
  </si>
  <si>
    <t>Review every unique title in the Research Tracker. Improve Subject, Era, Genre, Subgenres, Tones, Synopsis, Evidence Summary, Confidence, QA Status, and Notes. Treat the current values as informed starting points, not unquestionable answers.</t>
  </si>
  <si>
    <t>Core stance</t>
  </si>
  <si>
    <t>Lean on the existing work when it is specific, internally consistent, and supported by the title synopsis and sources. Push back and replace values when they are generic, misleading, inconsistent with the story, unsupported, outside the controlled vocabulary, or clearly classify the medium rather than the narrative.</t>
  </si>
  <si>
    <t>Do not change identity fields</t>
  </si>
  <si>
    <t>Do not change Sequence, Batch, Title Key, Title, Year, Type, IMDb ID, or TMDB ID unless a record is demonstrably mismatched. If an identity problem is found, preserve the original values and explain the issue in Notes rather than silently changing the identity.</t>
  </si>
  <si>
    <t>One row per title</t>
  </si>
  <si>
    <t>The file has been deduplicated by Title Key. Do not add duplicate rows. Do not merge different titles merely because names are similar.</t>
  </si>
  <si>
    <t>Research standard</t>
  </si>
  <si>
    <t>Use title-specific sources. Prefer the IMDb and TMDB links already supplied, then verify uncertain or conflicting details with reliable official, distributor, network, studio, creator, or established reference sources. Do not invent plot details.</t>
  </si>
  <si>
    <t>Synopsis field</t>
  </si>
  <si>
    <t>Synopsis is a concise, spoiler-light description of the title’s premise and central conflict. The initial Synopsis values were copied from Evidence Summary. Rewrite them where needed into 1–3 clear sentences, normally 35–90 words. Describe the story, not the classification process. Avoid reviews, ratings, generic praise, production trivia, and unsupported ending details.</t>
  </si>
  <si>
    <t>Evidence Summary field</t>
  </si>
  <si>
    <t>Evidence Summary is the audit trail for the classification, not a duplicate synopsis. Explain briefly why the selected Subject, Era, Genre, Subgenres, and Tones fit the title. Name the decisive premise, setting, narrative structure, or tonal evidence. If you change an existing classification, state the reason concisely here.</t>
  </si>
  <si>
    <t>Subject rule</t>
  </si>
  <si>
    <t>Use exactly one lowercase kebab-case subject. Subject represents what the story is fundamentally about, not merely the profession, location, franchise, format, or broad genre. Prefer durable concepts such as grief-and-reconnection, institutional-corruption, survival-and-found-family, or ambition-and-betrayal. Reject vague labels when a more precise subject is supported.</t>
  </si>
  <si>
    <t>Subject challenge test</t>
  </si>
  <si>
    <t>Ask: If the title, setting, and character names were removed, would the subject still express the story’s central human or institutional concern? If not, revise it. Do not use processing labels such as classification-completed.</t>
  </si>
  <si>
    <t>Era rule</t>
  </si>
  <si>
    <t>Choose exactly one value from the Controlled Vocabulary tab. Era describes the primary story setting, not the release year. Use multi-era when the narrative materially spans distinct periods; timeless only when a real-world period is genuinely inapplicable. Do not create new era labels.</t>
  </si>
  <si>
    <t>Genre rule</t>
  </si>
  <si>
    <t>Choose exactly one primary genre from the Controlled Vocabulary tab. Base the choice on the dominant narrative experience, not every genre present. Do not create a new primary genre without documenting the need in Notes.</t>
  </si>
  <si>
    <t>Subgenre rule</t>
  </si>
  <si>
    <t>Provide 1–3 lowercase kebab-case subgenres separated by semicolon and space. They must refine the primary genre or narrative form. Avoid repeating the primary genre without adding precision. Examples: legal-drama; neo-noir; workplace-comedy.</t>
  </si>
  <si>
    <t>Tone rule</t>
  </si>
  <si>
    <t>Provide 2–5 lowercase kebab-case tone or craft descriptors separated by semicolon and space. Tones describe the viewing experience, such as atmospheric, witty, bleak, suspenseful, intimate, kinetic, or bittersweet. Avoid plot subjects, genres, and generic terms such as good or engaging.</t>
  </si>
  <si>
    <t>Source fields</t>
  </si>
  <si>
    <t>Preserve valid Source 1 and Source 2 links. Replace search-result links with direct title pages when reliable direct pages are available. Add or replace sources only when the new source is title-specific and supports the classification or synopsis.</t>
  </si>
  <si>
    <t>High: title identity and classifications are directly supported and unambiguous. Medium: most fields are supported but one or more judgments are interpretive or the title is unreleased. Low: title identity, plot, or classification remains uncertain after review.</t>
  </si>
  <si>
    <t>Set Passed only when required fields are populated, vocabulary rules are followed, Synopsis is title-specific, Evidence Summary explains the classification, and sources are usable. Set Needs correction when any of those conditions fail. Use Notes to explain unresolved issues.</t>
  </si>
  <si>
    <t>Change discipline</t>
  </si>
  <si>
    <t>Do not change a field simply to be different. Keep strong existing classifications. When changing a field, make the replacement materially more precise or accurate and document the reason in Evidence Summary or Notes.</t>
  </si>
  <si>
    <t>Consistency review</t>
  </si>
  <si>
    <t>After row-level review, scan the full dataset for duplicate subjects used inconsistently, near-duplicate vocabulary, invalid eras or genres, excessive reliance on generic tones, mismatches between Synopsis and Subject, and titles in the same franchise classified under conflicting rules without a story-based reason.</t>
  </si>
  <si>
    <t>Completeness check</t>
  </si>
  <si>
    <t>Before finishing, confirm every row has Status = Complete; Subject, Era, Genre, Subgenres, Tones, Source 1, Source 2, Evidence Summary, Synopsis, Confidence, Reviewed On, and QA Status are populated; all Title Keys are unique; and no placeholder text remains.</t>
  </si>
  <si>
    <t>Output requirement</t>
  </si>
  <si>
    <t>Return the edited workbook, not a prose-only review. Preserve the Research Tracker, Progress Summary, Controlled Vocabulary, Instructions, and Prompt tabs. Keep the existing table structure, formatting, and column order.</t>
  </si>
  <si>
    <t>Recommended pass sequence</t>
  </si>
  <si>
    <t>Pass 1: validate identity and sources. Pass 2: rewrite Synopsis. Pass 3: review Subject, Era, Genre, Subgenres, and Tones. Pass 4: rewrite Evidence Summary and set Confidence/QA Status. Pass 5: run cross-file consistency and completeness checks.</t>
  </si>
  <si>
    <t>PROMPT FOR CLAUDE</t>
  </si>
  <si>
    <t>Copy the text below if the workbook upload does not automatically direct Claude to this tab.</t>
  </si>
  <si>
    <t>Role</t>
  </si>
  <si>
    <t>You are the senior metadata editor and quality reviewer for a curated movie and television dataset. Your job is to improve, challenge, and standardize the classifications in this workbook while preserving accurate prior work.</t>
  </si>
  <si>
    <t>Primary task</t>
  </si>
  <si>
    <t>Review every row in the Research Tracker and return an edited workbook. Use the existing classifications as hypotheses. Keep them when supported; revise them when a better title-specific classification is warranted. Do not rubber-stamp the current data.</t>
  </si>
  <si>
    <t>Required deliverable</t>
  </si>
  <si>
    <t>Edit the workbook directly. Preserve all existing tabs and formatting. Complete the Synopsis field, improve classification quality, replace weak or inaccurate values, update Evidence Summary to explain the classification, and set Confidence and QA Status based on the completed review.</t>
  </si>
  <si>
    <t>How to use prior findings</t>
  </si>
  <si>
    <t>The current dataset reflects prior title-by-title work plus imported metadata. It is useful evidence, but it contains judgment calls. Give the current values meaningful weight, especially when Subject, Synopsis, and source pages agree. Push back when the value is generic, contradicted by the premise, inconsistent with the controlled vocabulary, or less precise than the available evidence supports.</t>
  </si>
  <si>
    <t>Synopsis requirement</t>
  </si>
  <si>
    <t>Treat the current Synopsis as a draft copied from the former Evidence Summary. Produce a spoiler-light 1–3 sentence premise, normally 35–90 words. Identify the protagonist or central group, situation, goal or conflict, and meaningful stakes when supported. Do not include classification commentary.</t>
  </si>
  <si>
    <t>Classification requirement</t>
  </si>
  <si>
    <t>For each title select one precise Subject, one controlled Era, one primary Genre, 1–3 Subgenres, and 2–5 Tones. Follow the detailed definitions on the Instructions and Controlled Vocabulary tabs. Use lowercase kebab-case for Subject, Subgenres, and Tones.</t>
  </si>
  <si>
    <t>Evidence requirement</t>
  </si>
  <si>
    <t>Evidence Summary must explain why the chosen fields fit. Distinguish narrative subject from genre, setting era from release year, subgenre from tone, and factual synopsis from editorial judgment.</t>
  </si>
  <si>
    <t>Research and disagreement</t>
  </si>
  <si>
    <t>Use the existing IMDb and TMDB links first. Verify ambiguous, unreleased, obscure, or conflicting titles with additional reliable title-specific sources. If research disagrees with the workbook, correct the workbook and briefly explain the correction. If the evidence remains uncertain, use Medium or Low confidence and explain the unresolved point in Notes.</t>
  </si>
  <si>
    <t>Do not do</t>
  </si>
  <si>
    <t>Do not invent facts, add duplicate rows, change title identity silently, use placeholders, create uncontrolled era values, classify every title as drama, or leave Evidence Summary as a generic statement that work was completed.</t>
  </si>
  <si>
    <t>Final QA</t>
  </si>
  <si>
    <t>Before returning the file, verify unique Title Keys, complete required fields, controlled Era and Genre values, valid semicolon formatting, no placeholders, no blank Synopsis, no formula errors, and internally consistent classifications across franchises and similar titles.</t>
  </si>
  <si>
    <t>Finish condition</t>
  </si>
  <si>
    <t>Return the revised .xlsx file. Also provide a short summary of the number of rows reviewed, number of rows changed, fields most frequently changed, unresolved low-confidence titles, and any proposed additions to the controlled vocabulary. Do not claim completion unless the workbook itself contains the edits.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</si>
</sst>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font>
      <sz val="11"/>
      <color theme="1"/>
      <name val="Calibri"/>
      <family val="2"/>
      <scheme val="minor"/>
    </font>
    <font>
      <b/>
      <sz val="11"/>
      <color rgb="FFFFFFFF"/>
      <name val="Calibri"/>
    </font>
    <font>
      <b/>
      <sz val="11"/>
      <color rgb="FF1F1F1F"/>
      <name val="Calibri"/>
    </font>
    <font>
      <sz val="11"/>
      <color rgb="FF1F1F1F"/>
      <name val="Calibri"/>
    </font>
  </fonts>
  <fills count="6">
    <fill>
      <patternFill patternType="none"/>
    </fill>
    <fill>
      <patternFill patternType="gray125"/>
    </fill>
    <fill>
      <patternFill patternType="solid">
        <fgColor rgb="FF1F4E78"/>
      </patternFill>
    </fill>
    <fill>
      <patternFill patternType="solid">
        <fgColor rgb="FFDDEBF7"/>
      </patternFill>
    </fill>
    <fill>
      <patternFill patternType="solid">
        <fgColor rgb="FFFFFFFF"/>
      </patternFill>
    </fill>
    <fill>
      <patternFill patternType="solid">
        <fgColor rgb="FFFCE4D6"/>
      </patternFill>
    </fill>
  </fills>
  <borders count="1">
    <border>
      <left/>
      <right/>
      <top/>
      <bottom/>
      <diagonal/>
    </border>
  </borders>
  <cellStyleXfs count="1">
    <xf numFmtId="0" fontId="0" fillId="0" borderId="0"/>
  </cellStyleXfs>
  <cellXfs count="13">
    <xf numFmtId="0" fontId="0" fillId="0" borderId="0" xfId="0"/>
    <xf numFmtId="0" fontId="0" fillId="2" borderId="0" xfId="0" applyFill="1" applyAlignment="1">
      <alignment horizontal="center" vertical="center"/>
    </xf>
    <xf numFmtId="0" fontId="0" fillId="0" borderId="0" xfId="0" applyAlignment="1">
      <alignment horizontal="center" vertical="top" wrapText="1"/>
    </xf>
    <xf numFmtId="0" fontId="0" fillId="0" borderId="0" xfId="0" applyAlignment="1">
      <alignment vertical="top" wrapText="1"/>
    </xf>
    <xf numFmtId="0" fontId="0" fillId="2" borderId="0" xfId="0" applyFill="1"/>
    <xf numFmtId="164" fontId="0" fillId="0" borderId="0" xfId="0" applyNumberFormat="1"/>
    <xf numFmtId="0" fontId="0" fillId="2" borderId="0" xfId="0" applyFill="1" applyAlignment="1">
      <alignment vertical="top" wrapText="1"/>
    </xf>
    <xf numFmtId="0" fontId="1" fillId="2" borderId="0" xfId="0" applyFont="1" applyFill="1" applyAlignment="1">
      <alignment vertical="top" wrapText="1"/>
    </xf>
    <xf numFmtId="0" fontId="2" fillId="3" borderId="0" xfId="0" applyFont="1" applyFill="1" applyAlignment="1">
      <alignment vertical="top" wrapText="1"/>
    </xf>
    <xf numFmtId="0" fontId="3" fillId="4" borderId="0" xfId="0" applyFont="1" applyFill="1" applyAlignment="1">
      <alignment vertical="top" wrapText="1"/>
    </xf>
    <xf numFmtId="0" fontId="2" fillId="5" borderId="0" xfId="0" applyFont="1" applyFill="1" applyAlignment="1">
      <alignment vertical="top" wrapText="1"/>
    </xf>
    <xf numFmtId="0" fontId="0" fillId="2" borderId="0" xfId="0" applyFill="1" applyAlignment="1"/>
    <xf numFmtId="0" fontId="0" fillId="0" borderId="0" xfId="0" applyAlignment="1"/>
  </cellXfs>
  <cellStyles count="1">
    <cellStyle name="Normal" xfId="0" builtinId="0"/>
  </cellStyles>
  <dxfs count="3">
    <dxf>
      <fill>
        <patternFill patternType="solid">
          <fgColor rgb="FFF4CCCC"/>
        </patternFill>
      </fill>
    </dxf>
    <dxf>
      <fill>
        <patternFill patternType="solid">
          <fgColor rgb="FFFCE4D6"/>
        </patternFill>
      </fill>
    </dxf>
    <dxf>
      <fill>
        <patternFill patternType="solid">
          <fgColor rgb="FFE2F0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searchTracker" displayName="ResearchTracker" ref="A1:V794">
  <autoFilter ref="A1:V794" xr:uid="{00000000-0009-0000-0100-000001000000}"/>
  <tableColumns count="22">
    <tableColumn id="1" xr3:uid="{00000000-0010-0000-0000-000001000000}" name="Sequence"/>
    <tableColumn id="2" xr3:uid="{00000000-0010-0000-0000-000002000000}" name="Batch"/>
    <tableColumn id="3" xr3:uid="{00000000-0010-0000-0000-000003000000}" name="Title Key"/>
    <tableColumn id="4" xr3:uid="{00000000-0010-0000-0000-000004000000}" name="Title"/>
    <tableColumn id="5" xr3:uid="{00000000-0010-0000-0000-000005000000}" name="Year"/>
    <tableColumn id="6" xr3:uid="{00000000-0010-0000-0000-000006000000}" name="Type"/>
    <tableColumn id="7" xr3:uid="{00000000-0010-0000-0000-000007000000}" name="IMDb ID"/>
    <tableColumn id="8" xr3:uid="{00000000-0010-0000-0000-000008000000}" name="TMDB ID"/>
    <tableColumn id="9" xr3:uid="{00000000-0010-0000-0000-000009000000}" name="Status"/>
    <tableColumn id="10" xr3:uid="{00000000-0010-0000-0000-00000A000000}" name="Subject"/>
    <tableColumn id="11" xr3:uid="{00000000-0010-0000-0000-00000B000000}" name="Era"/>
    <tableColumn id="12" xr3:uid="{00000000-0010-0000-0000-00000C000000}" name="Genre"/>
    <tableColumn id="13" xr3:uid="{00000000-0010-0000-0000-00000D000000}" name="Subgenres"/>
    <tableColumn id="14" xr3:uid="{00000000-0010-0000-0000-00000E000000}" name="Tones"/>
    <tableColumn id="15" xr3:uid="{00000000-0010-0000-0000-00000F000000}" name="Source 1"/>
    <tableColumn id="16" xr3:uid="{00000000-0010-0000-0000-000010000000}" name="Source 2"/>
    <tableColumn id="17" xr3:uid="{00000000-0010-0000-0000-000011000000}" name="Evidence Summary"/>
    <tableColumn id="18" xr3:uid="{00000000-0010-0000-0000-000012000000}" name="Synopsis"/>
    <tableColumn id="19" xr3:uid="{00000000-0010-0000-0000-000013000000}" name="Confidence"/>
    <tableColumn id="20" xr3:uid="{00000000-0010-0000-0000-000014000000}" name="Reviewed On"/>
    <tableColumn id="21" xr3:uid="{00000000-0010-0000-0000-000015000000}" name="QA Status"/>
    <tableColumn id="22" xr3:uid="{00000000-0010-0000-0000-000016000000}"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94"/>
  <sheetViews>
    <sheetView tabSelected="1" workbookViewId="0">
      <pane xSplit="3" ySplit="1" topLeftCell="D2" activePane="bottomRight" state="frozen"/>
      <selection pane="bottomRight"/>
      <selection pane="bottomLeft"/>
      <selection pane="topRight"/>
    </sheetView>
  </sheetViews>
  <sheetFormatPr defaultRowHeight="15"/>
  <cols>
    <col min="1" max="1" width="10" customWidth="1"/>
    <col min="2" max="2" width="11" customWidth="1"/>
    <col min="3" max="3" width="18" customWidth="1"/>
    <col min="4" max="4" width="38" customWidth="1"/>
    <col min="5" max="5" width="9" customWidth="1"/>
    <col min="6" max="6" width="10" customWidth="1"/>
    <col min="7" max="7" width="15" customWidth="1"/>
    <col min="8" max="8" width="12" customWidth="1"/>
    <col min="9" max="9" width="24" customWidth="1"/>
    <col min="10" max="10" width="28" customWidth="1"/>
    <col min="11" max="12" width="20" customWidth="1"/>
    <col min="13" max="13" width="34" customWidth="1"/>
    <col min="14" max="14" width="40" customWidth="1"/>
    <col min="15" max="16" width="45" customWidth="1"/>
    <col min="17" max="17" width="70" customWidth="1"/>
    <col min="18" max="18" width="55" customWidth="1"/>
    <col min="19" max="19" width="14" customWidth="1"/>
    <col min="20" max="20" width="16" customWidth="1"/>
    <col min="21" max="21" width="45"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s="2">
        <v>1</v>
      </c>
      <c r="B2" s="3" t="s">
        <v>22</v>
      </c>
      <c r="C2" s="3" t="s">
        <v>23</v>
      </c>
      <c r="D2" s="3" t="s">
        <v>24</v>
      </c>
      <c r="E2" s="2" t="s">
        <v>25</v>
      </c>
      <c r="F2" s="2" t="s">
        <v>26</v>
      </c>
      <c r="G2" s="3" t="s">
        <v>27</v>
      </c>
      <c r="H2" s="2" t="s">
        <v>28</v>
      </c>
      <c r="I2" s="3" t="s">
        <v>29</v>
      </c>
      <c r="J2" s="3" t="s">
        <v>30</v>
      </c>
      <c r="K2" s="3" t="s">
        <v>31</v>
      </c>
      <c r="L2" s="3" t="s">
        <v>32</v>
      </c>
      <c r="M2" s="3" t="s">
        <v>33</v>
      </c>
      <c r="N2" s="3" t="s">
        <v>34</v>
      </c>
      <c r="O2" s="3" t="s">
        <v>35</v>
      </c>
      <c r="P2" s="3" t="s">
        <v>36</v>
      </c>
      <c r="Q2" s="3" t="s">
        <v>37</v>
      </c>
      <c r="R2" s="3" t="s">
        <v>37</v>
      </c>
      <c r="S2" s="2" t="s">
        <v>38</v>
      </c>
      <c r="T2" s="2" t="s">
        <v>39</v>
      </c>
      <c r="U2" s="2" t="s">
        <v>40</v>
      </c>
      <c r="V2" s="3"/>
    </row>
    <row r="3" spans="1:22">
      <c r="A3" s="2">
        <v>2</v>
      </c>
      <c r="B3" s="3" t="s">
        <v>22</v>
      </c>
      <c r="C3" s="3" t="s">
        <v>41</v>
      </c>
      <c r="D3" s="3" t="s">
        <v>42</v>
      </c>
      <c r="E3" s="2" t="s">
        <v>25</v>
      </c>
      <c r="F3" s="2" t="s">
        <v>43</v>
      </c>
      <c r="G3" s="3" t="s">
        <v>44</v>
      </c>
      <c r="H3" s="2" t="s">
        <v>45</v>
      </c>
      <c r="I3" s="3" t="s">
        <v>29</v>
      </c>
      <c r="J3" s="3" t="s">
        <v>46</v>
      </c>
      <c r="K3" s="3" t="s">
        <v>47</v>
      </c>
      <c r="L3" s="3" t="s">
        <v>48</v>
      </c>
      <c r="M3" s="3" t="s">
        <v>49</v>
      </c>
      <c r="N3" s="3" t="s">
        <v>50</v>
      </c>
      <c r="O3" s="3" t="s">
        <v>51</v>
      </c>
      <c r="P3" s="3" t="s">
        <v>52</v>
      </c>
      <c r="Q3" s="3" t="s">
        <v>53</v>
      </c>
      <c r="R3" s="3" t="s">
        <v>53</v>
      </c>
      <c r="S3" s="2" t="s">
        <v>38</v>
      </c>
      <c r="T3" s="2" t="s">
        <v>39</v>
      </c>
      <c r="U3" s="2" t="s">
        <v>40</v>
      </c>
      <c r="V3" s="3"/>
    </row>
    <row r="4" spans="1:22">
      <c r="A4" s="2">
        <v>3</v>
      </c>
      <c r="B4" s="3" t="s">
        <v>22</v>
      </c>
      <c r="C4" s="3" t="s">
        <v>54</v>
      </c>
      <c r="D4" s="3" t="s">
        <v>55</v>
      </c>
      <c r="E4" s="2" t="s">
        <v>56</v>
      </c>
      <c r="F4" s="2" t="s">
        <v>26</v>
      </c>
      <c r="G4" s="3" t="s">
        <v>57</v>
      </c>
      <c r="H4" s="2" t="s">
        <v>58</v>
      </c>
      <c r="I4" s="3" t="s">
        <v>29</v>
      </c>
      <c r="J4" s="3" t="s">
        <v>59</v>
      </c>
      <c r="K4" s="3" t="s">
        <v>60</v>
      </c>
      <c r="L4" s="3" t="s">
        <v>61</v>
      </c>
      <c r="M4" s="3" t="s">
        <v>62</v>
      </c>
      <c r="N4" s="3" t="s">
        <v>63</v>
      </c>
      <c r="O4" s="3" t="s">
        <v>64</v>
      </c>
      <c r="P4" s="3" t="s">
        <v>65</v>
      </c>
      <c r="Q4" s="3" t="s">
        <v>66</v>
      </c>
      <c r="R4" s="3" t="s">
        <v>66</v>
      </c>
      <c r="S4" s="2" t="s">
        <v>38</v>
      </c>
      <c r="T4" s="2" t="s">
        <v>39</v>
      </c>
      <c r="U4" s="2" t="s">
        <v>40</v>
      </c>
      <c r="V4" s="3"/>
    </row>
    <row r="5" spans="1:22">
      <c r="A5" s="2">
        <v>4</v>
      </c>
      <c r="B5" s="3" t="s">
        <v>22</v>
      </c>
      <c r="C5" s="3" t="s">
        <v>67</v>
      </c>
      <c r="D5" s="3" t="s">
        <v>68</v>
      </c>
      <c r="E5" s="2" t="s">
        <v>69</v>
      </c>
      <c r="F5" s="2" t="s">
        <v>26</v>
      </c>
      <c r="G5" s="3" t="s">
        <v>70</v>
      </c>
      <c r="H5" s="2" t="s">
        <v>71</v>
      </c>
      <c r="I5" s="3" t="s">
        <v>29</v>
      </c>
      <c r="J5" s="3" t="s">
        <v>72</v>
      </c>
      <c r="K5" s="3" t="s">
        <v>60</v>
      </c>
      <c r="L5" s="3" t="s">
        <v>73</v>
      </c>
      <c r="M5" s="3" t="s">
        <v>74</v>
      </c>
      <c r="N5" s="3" t="s">
        <v>75</v>
      </c>
      <c r="O5" s="3" t="s">
        <v>76</v>
      </c>
      <c r="P5" s="3" t="s">
        <v>77</v>
      </c>
      <c r="Q5" s="3" t="s">
        <v>78</v>
      </c>
      <c r="R5" s="3" t="s">
        <v>78</v>
      </c>
      <c r="S5" s="2" t="s">
        <v>38</v>
      </c>
      <c r="T5" s="2" t="s">
        <v>39</v>
      </c>
      <c r="U5" s="2" t="s">
        <v>40</v>
      </c>
      <c r="V5" s="3"/>
    </row>
    <row r="6" spans="1:22">
      <c r="A6" s="2">
        <v>5</v>
      </c>
      <c r="B6" s="3" t="s">
        <v>22</v>
      </c>
      <c r="C6" s="3" t="s">
        <v>79</v>
      </c>
      <c r="D6" s="3" t="s">
        <v>80</v>
      </c>
      <c r="E6" s="2" t="s">
        <v>81</v>
      </c>
      <c r="F6" s="2" t="s">
        <v>43</v>
      </c>
      <c r="G6" s="3" t="s">
        <v>82</v>
      </c>
      <c r="H6" s="2" t="s">
        <v>83</v>
      </c>
      <c r="I6" s="3" t="s">
        <v>29</v>
      </c>
      <c r="J6" s="3" t="s">
        <v>46</v>
      </c>
      <c r="K6" s="3" t="s">
        <v>84</v>
      </c>
      <c r="L6" s="3" t="s">
        <v>48</v>
      </c>
      <c r="M6" s="3" t="s">
        <v>85</v>
      </c>
      <c r="N6" s="3" t="s">
        <v>86</v>
      </c>
      <c r="O6" s="3" t="s">
        <v>87</v>
      </c>
      <c r="P6" s="3" t="s">
        <v>88</v>
      </c>
      <c r="Q6" s="3" t="s">
        <v>89</v>
      </c>
      <c r="R6" s="3" t="s">
        <v>89</v>
      </c>
      <c r="S6" s="2" t="s">
        <v>38</v>
      </c>
      <c r="T6" s="2" t="s">
        <v>39</v>
      </c>
      <c r="U6" s="2" t="s">
        <v>40</v>
      </c>
      <c r="V6" s="3"/>
    </row>
    <row r="7" spans="1:22">
      <c r="A7" s="2">
        <v>6</v>
      </c>
      <c r="B7" s="3" t="s">
        <v>22</v>
      </c>
      <c r="C7" s="3" t="s">
        <v>90</v>
      </c>
      <c r="D7" s="3" t="s">
        <v>91</v>
      </c>
      <c r="E7" s="2" t="s">
        <v>69</v>
      </c>
      <c r="F7" s="2" t="s">
        <v>26</v>
      </c>
      <c r="G7" s="3" t="s">
        <v>92</v>
      </c>
      <c r="H7" s="2" t="s">
        <v>93</v>
      </c>
      <c r="I7" s="3" t="s">
        <v>29</v>
      </c>
      <c r="J7" s="3" t="s">
        <v>94</v>
      </c>
      <c r="K7" s="3" t="s">
        <v>95</v>
      </c>
      <c r="L7" s="3" t="s">
        <v>61</v>
      </c>
      <c r="M7" s="3" t="s">
        <v>96</v>
      </c>
      <c r="N7" s="3" t="s">
        <v>97</v>
      </c>
      <c r="O7" s="3" t="s">
        <v>98</v>
      </c>
      <c r="P7" s="3" t="s">
        <v>99</v>
      </c>
      <c r="Q7" s="3" t="s">
        <v>100</v>
      </c>
      <c r="R7" s="3" t="s">
        <v>100</v>
      </c>
      <c r="S7" s="2" t="s">
        <v>38</v>
      </c>
      <c r="T7" s="2" t="s">
        <v>39</v>
      </c>
      <c r="U7" s="2" t="s">
        <v>40</v>
      </c>
      <c r="V7" s="3"/>
    </row>
    <row r="8" spans="1:22">
      <c r="A8" s="2">
        <v>7</v>
      </c>
      <c r="B8" s="3" t="s">
        <v>22</v>
      </c>
      <c r="C8" s="3" t="s">
        <v>101</v>
      </c>
      <c r="D8" s="3" t="s">
        <v>102</v>
      </c>
      <c r="E8" s="2" t="s">
        <v>103</v>
      </c>
      <c r="F8" s="2" t="s">
        <v>43</v>
      </c>
      <c r="G8" s="3" t="s">
        <v>104</v>
      </c>
      <c r="H8" s="2" t="s">
        <v>105</v>
      </c>
      <c r="I8" s="3" t="s">
        <v>29</v>
      </c>
      <c r="J8" s="3" t="s">
        <v>106</v>
      </c>
      <c r="K8" s="3" t="s">
        <v>107</v>
      </c>
      <c r="L8" s="3" t="s">
        <v>108</v>
      </c>
      <c r="M8" s="3" t="s">
        <v>109</v>
      </c>
      <c r="N8" s="3" t="s">
        <v>110</v>
      </c>
      <c r="O8" s="3" t="s">
        <v>111</v>
      </c>
      <c r="P8" s="3" t="s">
        <v>112</v>
      </c>
      <c r="Q8" s="3" t="s">
        <v>113</v>
      </c>
      <c r="R8" s="3" t="s">
        <v>113</v>
      </c>
      <c r="S8" s="2" t="s">
        <v>38</v>
      </c>
      <c r="T8" s="2" t="s">
        <v>39</v>
      </c>
      <c r="U8" s="2" t="s">
        <v>40</v>
      </c>
      <c r="V8" s="3"/>
    </row>
    <row r="9" spans="1:22">
      <c r="A9" s="2">
        <v>8</v>
      </c>
      <c r="B9" s="3" t="s">
        <v>22</v>
      </c>
      <c r="C9" s="3" t="s">
        <v>114</v>
      </c>
      <c r="D9" s="3" t="s">
        <v>115</v>
      </c>
      <c r="E9" s="2" t="s">
        <v>116</v>
      </c>
      <c r="F9" s="2" t="s">
        <v>26</v>
      </c>
      <c r="G9" s="3" t="s">
        <v>117</v>
      </c>
      <c r="H9" s="2" t="s">
        <v>118</v>
      </c>
      <c r="I9" s="3" t="s">
        <v>29</v>
      </c>
      <c r="J9" s="3" t="s">
        <v>119</v>
      </c>
      <c r="K9" s="3" t="s">
        <v>120</v>
      </c>
      <c r="L9" s="3" t="s">
        <v>32</v>
      </c>
      <c r="M9" s="3" t="s">
        <v>121</v>
      </c>
      <c r="N9" s="3" t="s">
        <v>122</v>
      </c>
      <c r="O9" s="3" t="s">
        <v>123</v>
      </c>
      <c r="P9" s="3" t="s">
        <v>124</v>
      </c>
      <c r="Q9" s="3" t="s">
        <v>125</v>
      </c>
      <c r="R9" s="3" t="s">
        <v>125</v>
      </c>
      <c r="S9" s="2" t="s">
        <v>38</v>
      </c>
      <c r="T9" s="2" t="s">
        <v>39</v>
      </c>
      <c r="U9" s="2" t="s">
        <v>40</v>
      </c>
      <c r="V9" s="3"/>
    </row>
    <row r="10" spans="1:22">
      <c r="A10" s="2">
        <v>9</v>
      </c>
      <c r="B10" s="3" t="s">
        <v>22</v>
      </c>
      <c r="C10" s="3" t="s">
        <v>126</v>
      </c>
      <c r="D10" s="3" t="s">
        <v>127</v>
      </c>
      <c r="E10" s="2" t="s">
        <v>128</v>
      </c>
      <c r="F10" s="2" t="s">
        <v>26</v>
      </c>
      <c r="G10" s="3" t="s">
        <v>129</v>
      </c>
      <c r="H10" s="2" t="s">
        <v>130</v>
      </c>
      <c r="I10" s="3" t="s">
        <v>29</v>
      </c>
      <c r="J10" s="3" t="s">
        <v>131</v>
      </c>
      <c r="K10" s="3" t="s">
        <v>47</v>
      </c>
      <c r="L10" s="3" t="s">
        <v>132</v>
      </c>
      <c r="M10" s="3" t="s">
        <v>133</v>
      </c>
      <c r="N10" s="3" t="s">
        <v>134</v>
      </c>
      <c r="O10" s="3" t="s">
        <v>135</v>
      </c>
      <c r="P10" s="3" t="s">
        <v>136</v>
      </c>
      <c r="Q10" s="3" t="s">
        <v>137</v>
      </c>
      <c r="R10" s="3" t="s">
        <v>137</v>
      </c>
      <c r="S10" s="2" t="s">
        <v>38</v>
      </c>
      <c r="T10" s="2" t="s">
        <v>39</v>
      </c>
      <c r="U10" s="2" t="s">
        <v>40</v>
      </c>
      <c r="V10" s="3"/>
    </row>
    <row r="11" spans="1:22">
      <c r="A11" s="2">
        <v>10</v>
      </c>
      <c r="B11" s="3" t="s">
        <v>22</v>
      </c>
      <c r="C11" s="3" t="s">
        <v>138</v>
      </c>
      <c r="D11" s="3" t="s">
        <v>139</v>
      </c>
      <c r="E11" s="2" t="s">
        <v>140</v>
      </c>
      <c r="F11" s="2" t="s">
        <v>43</v>
      </c>
      <c r="G11" s="3" t="s">
        <v>141</v>
      </c>
      <c r="H11" s="2" t="s">
        <v>142</v>
      </c>
      <c r="I11" s="3" t="s">
        <v>29</v>
      </c>
      <c r="J11" s="3" t="s">
        <v>143</v>
      </c>
      <c r="K11" s="3" t="s">
        <v>144</v>
      </c>
      <c r="L11" s="3" t="s">
        <v>145</v>
      </c>
      <c r="M11" s="3" t="s">
        <v>146</v>
      </c>
      <c r="N11" s="3" t="s">
        <v>147</v>
      </c>
      <c r="O11" s="3" t="s">
        <v>148</v>
      </c>
      <c r="P11" s="3" t="s">
        <v>149</v>
      </c>
      <c r="Q11" s="3" t="s">
        <v>150</v>
      </c>
      <c r="R11" s="3" t="s">
        <v>150</v>
      </c>
      <c r="S11" s="2" t="s">
        <v>38</v>
      </c>
      <c r="T11" s="2" t="s">
        <v>39</v>
      </c>
      <c r="U11" s="2" t="s">
        <v>40</v>
      </c>
      <c r="V11" s="3"/>
    </row>
    <row r="12" spans="1:22">
      <c r="A12" s="2">
        <v>11</v>
      </c>
      <c r="B12" s="3" t="s">
        <v>22</v>
      </c>
      <c r="C12" s="3" t="s">
        <v>151</v>
      </c>
      <c r="D12" s="3" t="s">
        <v>152</v>
      </c>
      <c r="E12" s="2" t="s">
        <v>116</v>
      </c>
      <c r="F12" s="2" t="s">
        <v>43</v>
      </c>
      <c r="G12" s="3" t="s">
        <v>153</v>
      </c>
      <c r="H12" s="2" t="s">
        <v>154</v>
      </c>
      <c r="I12" s="3" t="s">
        <v>29</v>
      </c>
      <c r="J12" s="3" t="s">
        <v>155</v>
      </c>
      <c r="K12" s="3" t="s">
        <v>31</v>
      </c>
      <c r="L12" s="3" t="s">
        <v>156</v>
      </c>
      <c r="M12" s="3" t="s">
        <v>157</v>
      </c>
      <c r="N12" s="3" t="s">
        <v>158</v>
      </c>
      <c r="O12" s="3" t="s">
        <v>159</v>
      </c>
      <c r="P12" s="3" t="s">
        <v>160</v>
      </c>
      <c r="Q12" s="3" t="s">
        <v>161</v>
      </c>
      <c r="R12" s="3" t="s">
        <v>161</v>
      </c>
      <c r="S12" s="2" t="s">
        <v>38</v>
      </c>
      <c r="T12" s="2" t="s">
        <v>39</v>
      </c>
      <c r="U12" s="2" t="s">
        <v>40</v>
      </c>
      <c r="V12" s="3"/>
    </row>
    <row r="13" spans="1:22">
      <c r="A13" s="2">
        <v>12</v>
      </c>
      <c r="B13" s="3" t="s">
        <v>22</v>
      </c>
      <c r="C13" s="3" t="s">
        <v>162</v>
      </c>
      <c r="D13" s="3" t="s">
        <v>163</v>
      </c>
      <c r="E13" s="2" t="s">
        <v>116</v>
      </c>
      <c r="F13" s="2" t="s">
        <v>26</v>
      </c>
      <c r="G13" s="3" t="s">
        <v>164</v>
      </c>
      <c r="H13" s="2" t="s">
        <v>165</v>
      </c>
      <c r="I13" s="3" t="s">
        <v>29</v>
      </c>
      <c r="J13" s="3" t="s">
        <v>166</v>
      </c>
      <c r="K13" s="3" t="s">
        <v>47</v>
      </c>
      <c r="L13" s="3" t="s">
        <v>167</v>
      </c>
      <c r="M13" s="3" t="s">
        <v>168</v>
      </c>
      <c r="N13" s="3" t="s">
        <v>169</v>
      </c>
      <c r="O13" s="3" t="s">
        <v>170</v>
      </c>
      <c r="P13" s="3" t="s">
        <v>171</v>
      </c>
      <c r="Q13" s="3" t="s">
        <v>172</v>
      </c>
      <c r="R13" s="3" t="s">
        <v>172</v>
      </c>
      <c r="S13" s="2" t="s">
        <v>38</v>
      </c>
      <c r="T13" s="2" t="s">
        <v>39</v>
      </c>
      <c r="U13" s="2" t="s">
        <v>40</v>
      </c>
      <c r="V13" s="3"/>
    </row>
    <row r="14" spans="1:22">
      <c r="A14" s="2">
        <v>13</v>
      </c>
      <c r="B14" s="3" t="s">
        <v>22</v>
      </c>
      <c r="C14" s="3" t="s">
        <v>173</v>
      </c>
      <c r="D14" s="3" t="s">
        <v>174</v>
      </c>
      <c r="E14" s="2" t="s">
        <v>116</v>
      </c>
      <c r="F14" s="2" t="s">
        <v>26</v>
      </c>
      <c r="G14" s="3" t="s">
        <v>175</v>
      </c>
      <c r="H14" s="2" t="s">
        <v>176</v>
      </c>
      <c r="I14" s="3" t="s">
        <v>29</v>
      </c>
      <c r="J14" s="3" t="s">
        <v>177</v>
      </c>
      <c r="K14" s="3" t="s">
        <v>47</v>
      </c>
      <c r="L14" s="3" t="s">
        <v>132</v>
      </c>
      <c r="M14" s="3" t="s">
        <v>178</v>
      </c>
      <c r="N14" s="3" t="s">
        <v>179</v>
      </c>
      <c r="O14" s="3" t="s">
        <v>180</v>
      </c>
      <c r="P14" s="3" t="s">
        <v>181</v>
      </c>
      <c r="Q14" s="3" t="s">
        <v>182</v>
      </c>
      <c r="R14" s="3" t="s">
        <v>182</v>
      </c>
      <c r="S14" s="2" t="s">
        <v>38</v>
      </c>
      <c r="T14" s="2" t="s">
        <v>39</v>
      </c>
      <c r="U14" s="2" t="s">
        <v>40</v>
      </c>
      <c r="V14" s="3"/>
    </row>
    <row r="15" spans="1:22">
      <c r="A15" s="2">
        <v>14</v>
      </c>
      <c r="B15" s="3" t="s">
        <v>22</v>
      </c>
      <c r="C15" s="3" t="s">
        <v>183</v>
      </c>
      <c r="D15" s="3" t="s">
        <v>184</v>
      </c>
      <c r="E15" s="2" t="s">
        <v>185</v>
      </c>
      <c r="F15" s="2" t="s">
        <v>43</v>
      </c>
      <c r="G15" s="3" t="s">
        <v>186</v>
      </c>
      <c r="H15" s="2" t="s">
        <v>187</v>
      </c>
      <c r="I15" s="3" t="s">
        <v>29</v>
      </c>
      <c r="J15" s="3" t="s">
        <v>188</v>
      </c>
      <c r="K15" s="3" t="s">
        <v>107</v>
      </c>
      <c r="L15" s="3" t="s">
        <v>108</v>
      </c>
      <c r="M15" s="3" t="s">
        <v>189</v>
      </c>
      <c r="N15" s="3" t="s">
        <v>190</v>
      </c>
      <c r="O15" s="3" t="s">
        <v>191</v>
      </c>
      <c r="P15" s="3" t="s">
        <v>192</v>
      </c>
      <c r="Q15" s="3" t="s">
        <v>193</v>
      </c>
      <c r="R15" s="3" t="s">
        <v>193</v>
      </c>
      <c r="S15" s="2" t="s">
        <v>38</v>
      </c>
      <c r="T15" s="2" t="s">
        <v>39</v>
      </c>
      <c r="U15" s="2" t="s">
        <v>40</v>
      </c>
      <c r="V15" s="3"/>
    </row>
    <row r="16" spans="1:22">
      <c r="A16" s="2">
        <v>15</v>
      </c>
      <c r="B16" s="3" t="s">
        <v>22</v>
      </c>
      <c r="C16" s="3" t="s">
        <v>194</v>
      </c>
      <c r="D16" s="3" t="s">
        <v>195</v>
      </c>
      <c r="E16" s="2" t="s">
        <v>185</v>
      </c>
      <c r="F16" s="2" t="s">
        <v>43</v>
      </c>
      <c r="G16" s="3" t="s">
        <v>196</v>
      </c>
      <c r="H16" s="2" t="s">
        <v>197</v>
      </c>
      <c r="I16" s="3" t="s">
        <v>29</v>
      </c>
      <c r="J16" s="3" t="s">
        <v>198</v>
      </c>
      <c r="K16" s="3" t="s">
        <v>47</v>
      </c>
      <c r="L16" s="3" t="s">
        <v>167</v>
      </c>
      <c r="M16" s="3" t="s">
        <v>199</v>
      </c>
      <c r="N16" s="3" t="s">
        <v>200</v>
      </c>
      <c r="O16" s="3" t="s">
        <v>201</v>
      </c>
      <c r="P16" s="3" t="s">
        <v>202</v>
      </c>
      <c r="Q16" s="3" t="s">
        <v>203</v>
      </c>
      <c r="R16" s="3" t="s">
        <v>203</v>
      </c>
      <c r="S16" s="2" t="s">
        <v>38</v>
      </c>
      <c r="T16" s="2" t="s">
        <v>39</v>
      </c>
      <c r="U16" s="2" t="s">
        <v>40</v>
      </c>
      <c r="V16" s="3"/>
    </row>
    <row r="17" spans="1:22">
      <c r="A17" s="2">
        <v>16</v>
      </c>
      <c r="B17" s="3" t="s">
        <v>22</v>
      </c>
      <c r="C17" s="3" t="s">
        <v>204</v>
      </c>
      <c r="D17" s="3" t="s">
        <v>205</v>
      </c>
      <c r="E17" s="2" t="s">
        <v>206</v>
      </c>
      <c r="F17" s="2" t="s">
        <v>26</v>
      </c>
      <c r="G17" s="3" t="s">
        <v>207</v>
      </c>
      <c r="H17" s="2" t="s">
        <v>208</v>
      </c>
      <c r="I17" s="3" t="s">
        <v>29</v>
      </c>
      <c r="J17" s="3" t="s">
        <v>209</v>
      </c>
      <c r="K17" s="3" t="s">
        <v>47</v>
      </c>
      <c r="L17" s="3" t="s">
        <v>167</v>
      </c>
      <c r="M17" s="3" t="s">
        <v>210</v>
      </c>
      <c r="N17" s="3" t="s">
        <v>211</v>
      </c>
      <c r="O17" s="3" t="s">
        <v>212</v>
      </c>
      <c r="P17" s="3" t="s">
        <v>213</v>
      </c>
      <c r="Q17" s="3" t="s">
        <v>214</v>
      </c>
      <c r="R17" s="3" t="s">
        <v>214</v>
      </c>
      <c r="S17" s="2" t="s">
        <v>38</v>
      </c>
      <c r="T17" s="2" t="s">
        <v>39</v>
      </c>
      <c r="U17" s="2" t="s">
        <v>40</v>
      </c>
      <c r="V17" s="3"/>
    </row>
    <row r="18" spans="1:22">
      <c r="A18" s="2">
        <v>17</v>
      </c>
      <c r="B18" s="3" t="s">
        <v>22</v>
      </c>
      <c r="C18" s="3" t="s">
        <v>215</v>
      </c>
      <c r="D18" s="3" t="s">
        <v>216</v>
      </c>
      <c r="E18" s="2" t="s">
        <v>185</v>
      </c>
      <c r="F18" s="2" t="s">
        <v>26</v>
      </c>
      <c r="G18" s="3" t="s">
        <v>217</v>
      </c>
      <c r="H18" s="2" t="s">
        <v>218</v>
      </c>
      <c r="I18" s="3" t="s">
        <v>29</v>
      </c>
      <c r="J18" s="3" t="s">
        <v>219</v>
      </c>
      <c r="K18" s="3" t="s">
        <v>47</v>
      </c>
      <c r="L18" s="3" t="s">
        <v>132</v>
      </c>
      <c r="M18" s="3" t="s">
        <v>220</v>
      </c>
      <c r="N18" s="3" t="s">
        <v>221</v>
      </c>
      <c r="O18" s="3" t="s">
        <v>222</v>
      </c>
      <c r="P18" s="3" t="s">
        <v>223</v>
      </c>
      <c r="Q18" s="3" t="s">
        <v>224</v>
      </c>
      <c r="R18" s="3" t="s">
        <v>224</v>
      </c>
      <c r="S18" s="2" t="s">
        <v>38</v>
      </c>
      <c r="T18" s="2" t="s">
        <v>39</v>
      </c>
      <c r="U18" s="2" t="s">
        <v>40</v>
      </c>
      <c r="V18" s="3"/>
    </row>
    <row r="19" spans="1:22">
      <c r="A19" s="2">
        <v>18</v>
      </c>
      <c r="B19" s="3" t="s">
        <v>22</v>
      </c>
      <c r="C19" s="3" t="s">
        <v>225</v>
      </c>
      <c r="D19" s="3" t="s">
        <v>226</v>
      </c>
      <c r="E19" s="2" t="s">
        <v>56</v>
      </c>
      <c r="F19" s="2" t="s">
        <v>26</v>
      </c>
      <c r="G19" s="3" t="s">
        <v>227</v>
      </c>
      <c r="H19" s="2" t="s">
        <v>228</v>
      </c>
      <c r="I19" s="3" t="s">
        <v>29</v>
      </c>
      <c r="J19" s="3" t="s">
        <v>229</v>
      </c>
      <c r="K19" s="3" t="s">
        <v>47</v>
      </c>
      <c r="L19" s="3" t="s">
        <v>132</v>
      </c>
      <c r="M19" s="3" t="s">
        <v>230</v>
      </c>
      <c r="N19" s="3" t="s">
        <v>231</v>
      </c>
      <c r="O19" s="3" t="s">
        <v>232</v>
      </c>
      <c r="P19" s="3" t="s">
        <v>233</v>
      </c>
      <c r="Q19" s="3" t="s">
        <v>234</v>
      </c>
      <c r="R19" s="3" t="s">
        <v>234</v>
      </c>
      <c r="S19" s="2" t="s">
        <v>38</v>
      </c>
      <c r="T19" s="2" t="s">
        <v>39</v>
      </c>
      <c r="U19" s="2" t="s">
        <v>40</v>
      </c>
      <c r="V19" s="3"/>
    </row>
    <row r="20" spans="1:22">
      <c r="A20" s="2">
        <v>19</v>
      </c>
      <c r="B20" s="3" t="s">
        <v>22</v>
      </c>
      <c r="C20" s="3" t="s">
        <v>235</v>
      </c>
      <c r="D20" s="3" t="s">
        <v>236</v>
      </c>
      <c r="E20" s="2" t="s">
        <v>103</v>
      </c>
      <c r="F20" s="2" t="s">
        <v>26</v>
      </c>
      <c r="G20" s="3" t="s">
        <v>237</v>
      </c>
      <c r="H20" s="2" t="s">
        <v>238</v>
      </c>
      <c r="I20" s="3" t="s">
        <v>29</v>
      </c>
      <c r="J20" s="3" t="s">
        <v>239</v>
      </c>
      <c r="K20" s="3" t="s">
        <v>47</v>
      </c>
      <c r="L20" s="3" t="s">
        <v>167</v>
      </c>
      <c r="M20" s="3" t="s">
        <v>240</v>
      </c>
      <c r="N20" s="3" t="s">
        <v>241</v>
      </c>
      <c r="O20" s="3" t="s">
        <v>242</v>
      </c>
      <c r="P20" s="3" t="s">
        <v>243</v>
      </c>
      <c r="Q20" s="3" t="s">
        <v>244</v>
      </c>
      <c r="R20" s="3" t="s">
        <v>244</v>
      </c>
      <c r="S20" s="2" t="s">
        <v>38</v>
      </c>
      <c r="T20" s="2" t="s">
        <v>39</v>
      </c>
      <c r="U20" s="2" t="s">
        <v>40</v>
      </c>
      <c r="V20" s="3"/>
    </row>
    <row r="21" spans="1:22">
      <c r="A21" s="2">
        <v>20</v>
      </c>
      <c r="B21" s="3" t="s">
        <v>22</v>
      </c>
      <c r="C21" s="3" t="s">
        <v>245</v>
      </c>
      <c r="D21" s="3" t="s">
        <v>246</v>
      </c>
      <c r="E21" s="2" t="s">
        <v>103</v>
      </c>
      <c r="F21" s="2" t="s">
        <v>26</v>
      </c>
      <c r="G21" s="3" t="s">
        <v>247</v>
      </c>
      <c r="H21" s="2" t="s">
        <v>248</v>
      </c>
      <c r="I21" s="3" t="s">
        <v>29</v>
      </c>
      <c r="J21" s="3" t="s">
        <v>249</v>
      </c>
      <c r="K21" s="3" t="s">
        <v>47</v>
      </c>
      <c r="L21" s="3" t="s">
        <v>132</v>
      </c>
      <c r="M21" s="3" t="s">
        <v>250</v>
      </c>
      <c r="N21" s="3" t="s">
        <v>251</v>
      </c>
      <c r="O21" s="3" t="s">
        <v>252</v>
      </c>
      <c r="P21" s="3" t="s">
        <v>253</v>
      </c>
      <c r="Q21" s="3" t="s">
        <v>254</v>
      </c>
      <c r="R21" s="3" t="s">
        <v>254</v>
      </c>
      <c r="S21" s="2" t="s">
        <v>38</v>
      </c>
      <c r="T21" s="2" t="s">
        <v>39</v>
      </c>
      <c r="U21" s="2" t="s">
        <v>40</v>
      </c>
      <c r="V21" s="3"/>
    </row>
    <row r="22" spans="1:22">
      <c r="A22" s="2">
        <v>21</v>
      </c>
      <c r="B22" s="3" t="s">
        <v>22</v>
      </c>
      <c r="C22" s="3" t="s">
        <v>255</v>
      </c>
      <c r="D22" s="3" t="s">
        <v>256</v>
      </c>
      <c r="E22" s="2" t="s">
        <v>257</v>
      </c>
      <c r="F22" s="2" t="s">
        <v>26</v>
      </c>
      <c r="G22" s="3" t="s">
        <v>258</v>
      </c>
      <c r="H22" s="2" t="s">
        <v>259</v>
      </c>
      <c r="I22" s="3" t="s">
        <v>29</v>
      </c>
      <c r="J22" s="3" t="s">
        <v>260</v>
      </c>
      <c r="K22" s="3" t="s">
        <v>261</v>
      </c>
      <c r="L22" s="3" t="s">
        <v>32</v>
      </c>
      <c r="M22" s="3" t="s">
        <v>262</v>
      </c>
      <c r="N22" s="3" t="s">
        <v>263</v>
      </c>
      <c r="O22" s="3" t="s">
        <v>264</v>
      </c>
      <c r="P22" s="3" t="s">
        <v>265</v>
      </c>
      <c r="Q22" s="3" t="s">
        <v>266</v>
      </c>
      <c r="R22" s="3" t="s">
        <v>266</v>
      </c>
      <c r="S22" s="2" t="s">
        <v>38</v>
      </c>
      <c r="T22" s="2" t="s">
        <v>39</v>
      </c>
      <c r="U22" s="2" t="s">
        <v>40</v>
      </c>
      <c r="V22" s="3"/>
    </row>
    <row r="23" spans="1:22">
      <c r="A23" s="2">
        <v>22</v>
      </c>
      <c r="B23" s="3" t="s">
        <v>22</v>
      </c>
      <c r="C23" s="3" t="s">
        <v>267</v>
      </c>
      <c r="D23" s="3" t="s">
        <v>268</v>
      </c>
      <c r="E23" s="2" t="s">
        <v>257</v>
      </c>
      <c r="F23" s="2" t="s">
        <v>43</v>
      </c>
      <c r="G23" s="3" t="s">
        <v>269</v>
      </c>
      <c r="H23" s="2" t="s">
        <v>270</v>
      </c>
      <c r="I23" s="3" t="s">
        <v>29</v>
      </c>
      <c r="J23" s="3" t="s">
        <v>271</v>
      </c>
      <c r="K23" s="3" t="s">
        <v>272</v>
      </c>
      <c r="L23" s="3" t="s">
        <v>167</v>
      </c>
      <c r="M23" s="3" t="s">
        <v>273</v>
      </c>
      <c r="N23" s="3" t="s">
        <v>274</v>
      </c>
      <c r="O23" s="3" t="s">
        <v>275</v>
      </c>
      <c r="P23" s="3" t="s">
        <v>276</v>
      </c>
      <c r="Q23" s="3" t="s">
        <v>277</v>
      </c>
      <c r="R23" s="3" t="s">
        <v>277</v>
      </c>
      <c r="S23" s="2" t="s">
        <v>38</v>
      </c>
      <c r="T23" s="2" t="s">
        <v>39</v>
      </c>
      <c r="U23" s="2" t="s">
        <v>40</v>
      </c>
      <c r="V23" s="3"/>
    </row>
    <row r="24" spans="1:22">
      <c r="A24" s="2">
        <v>23</v>
      </c>
      <c r="B24" s="3" t="s">
        <v>22</v>
      </c>
      <c r="C24" s="3" t="s">
        <v>278</v>
      </c>
      <c r="D24" s="3" t="s">
        <v>279</v>
      </c>
      <c r="E24" s="2" t="s">
        <v>103</v>
      </c>
      <c r="F24" s="2" t="s">
        <v>26</v>
      </c>
      <c r="G24" s="3" t="s">
        <v>280</v>
      </c>
      <c r="H24" s="2" t="s">
        <v>281</v>
      </c>
      <c r="I24" s="3" t="s">
        <v>29</v>
      </c>
      <c r="J24" s="3" t="s">
        <v>282</v>
      </c>
      <c r="K24" s="3" t="s">
        <v>261</v>
      </c>
      <c r="L24" s="3" t="s">
        <v>108</v>
      </c>
      <c r="M24" s="3" t="s">
        <v>283</v>
      </c>
      <c r="N24" s="3" t="s">
        <v>284</v>
      </c>
      <c r="O24" s="3" t="s">
        <v>285</v>
      </c>
      <c r="P24" s="3" t="s">
        <v>286</v>
      </c>
      <c r="Q24" s="3" t="s">
        <v>287</v>
      </c>
      <c r="R24" s="3" t="s">
        <v>287</v>
      </c>
      <c r="S24" s="2" t="s">
        <v>38</v>
      </c>
      <c r="T24" s="2" t="s">
        <v>39</v>
      </c>
      <c r="U24" s="2" t="s">
        <v>40</v>
      </c>
      <c r="V24" s="3"/>
    </row>
    <row r="25" spans="1:22">
      <c r="A25" s="2">
        <v>24</v>
      </c>
      <c r="B25" s="3" t="s">
        <v>22</v>
      </c>
      <c r="C25" s="3" t="s">
        <v>288</v>
      </c>
      <c r="D25" s="3" t="s">
        <v>289</v>
      </c>
      <c r="E25" s="2" t="s">
        <v>103</v>
      </c>
      <c r="F25" s="2" t="s">
        <v>26</v>
      </c>
      <c r="G25" s="3" t="s">
        <v>290</v>
      </c>
      <c r="H25" s="2" t="s">
        <v>291</v>
      </c>
      <c r="I25" s="3" t="s">
        <v>29</v>
      </c>
      <c r="J25" s="3" t="s">
        <v>292</v>
      </c>
      <c r="K25" s="3" t="s">
        <v>47</v>
      </c>
      <c r="L25" s="3" t="s">
        <v>293</v>
      </c>
      <c r="M25" s="3" t="s">
        <v>294</v>
      </c>
      <c r="N25" s="3" t="s">
        <v>295</v>
      </c>
      <c r="O25" s="3" t="s">
        <v>296</v>
      </c>
      <c r="P25" s="3" t="s">
        <v>297</v>
      </c>
      <c r="Q25" s="3" t="s">
        <v>298</v>
      </c>
      <c r="R25" s="3" t="s">
        <v>298</v>
      </c>
      <c r="S25" s="2" t="s">
        <v>38</v>
      </c>
      <c r="T25" s="2" t="s">
        <v>39</v>
      </c>
      <c r="U25" s="2" t="s">
        <v>40</v>
      </c>
      <c r="V25" s="3"/>
    </row>
    <row r="26" spans="1:22">
      <c r="A26" s="2">
        <v>25</v>
      </c>
      <c r="B26" s="3" t="s">
        <v>22</v>
      </c>
      <c r="C26" s="3" t="s">
        <v>299</v>
      </c>
      <c r="D26" s="3" t="s">
        <v>300</v>
      </c>
      <c r="E26" s="2" t="s">
        <v>69</v>
      </c>
      <c r="F26" s="2" t="s">
        <v>26</v>
      </c>
      <c r="G26" s="3" t="s">
        <v>301</v>
      </c>
      <c r="H26" s="2" t="s">
        <v>302</v>
      </c>
      <c r="I26" s="3" t="s">
        <v>29</v>
      </c>
      <c r="J26" s="3" t="s">
        <v>106</v>
      </c>
      <c r="K26" s="3" t="s">
        <v>47</v>
      </c>
      <c r="L26" s="3" t="s">
        <v>108</v>
      </c>
      <c r="M26" s="3" t="s">
        <v>303</v>
      </c>
      <c r="N26" s="3" t="s">
        <v>304</v>
      </c>
      <c r="O26" s="3" t="s">
        <v>305</v>
      </c>
      <c r="P26" s="3" t="s">
        <v>306</v>
      </c>
      <c r="Q26" s="3" t="s">
        <v>307</v>
      </c>
      <c r="R26" s="3" t="s">
        <v>307</v>
      </c>
      <c r="S26" s="2" t="s">
        <v>38</v>
      </c>
      <c r="T26" s="2" t="s">
        <v>39</v>
      </c>
      <c r="U26" s="2" t="s">
        <v>40</v>
      </c>
      <c r="V26" s="3"/>
    </row>
    <row r="27" spans="1:22">
      <c r="A27" s="2">
        <v>26</v>
      </c>
      <c r="B27" s="3" t="s">
        <v>22</v>
      </c>
      <c r="C27" s="3" t="s">
        <v>308</v>
      </c>
      <c r="D27" s="3" t="s">
        <v>309</v>
      </c>
      <c r="E27" s="2" t="s">
        <v>81</v>
      </c>
      <c r="F27" s="2" t="s">
        <v>26</v>
      </c>
      <c r="G27" s="3" t="s">
        <v>310</v>
      </c>
      <c r="H27" s="2" t="s">
        <v>311</v>
      </c>
      <c r="I27" s="3" t="s">
        <v>29</v>
      </c>
      <c r="J27" s="3" t="s">
        <v>312</v>
      </c>
      <c r="K27" s="3" t="s">
        <v>47</v>
      </c>
      <c r="L27" s="3" t="s">
        <v>167</v>
      </c>
      <c r="M27" s="3" t="s">
        <v>313</v>
      </c>
      <c r="N27" s="3" t="s">
        <v>314</v>
      </c>
      <c r="O27" s="3" t="s">
        <v>315</v>
      </c>
      <c r="P27" s="3" t="s">
        <v>316</v>
      </c>
      <c r="Q27" s="3" t="s">
        <v>317</v>
      </c>
      <c r="R27" s="3" t="s">
        <v>317</v>
      </c>
      <c r="S27" s="2" t="s">
        <v>38</v>
      </c>
      <c r="T27" s="2" t="s">
        <v>39</v>
      </c>
      <c r="U27" s="2" t="s">
        <v>40</v>
      </c>
      <c r="V27" s="3"/>
    </row>
    <row r="28" spans="1:22">
      <c r="A28" s="2">
        <v>27</v>
      </c>
      <c r="B28" s="3" t="s">
        <v>22</v>
      </c>
      <c r="C28" s="3" t="s">
        <v>318</v>
      </c>
      <c r="D28" s="3" t="s">
        <v>319</v>
      </c>
      <c r="E28" s="2" t="s">
        <v>25</v>
      </c>
      <c r="F28" s="2" t="s">
        <v>26</v>
      </c>
      <c r="G28" s="3" t="s">
        <v>320</v>
      </c>
      <c r="H28" s="2" t="s">
        <v>321</v>
      </c>
      <c r="I28" s="3" t="s">
        <v>29</v>
      </c>
      <c r="J28" s="3" t="s">
        <v>322</v>
      </c>
      <c r="K28" s="3" t="s">
        <v>120</v>
      </c>
      <c r="L28" s="3" t="s">
        <v>323</v>
      </c>
      <c r="M28" s="3" t="s">
        <v>324</v>
      </c>
      <c r="N28" s="3" t="s">
        <v>325</v>
      </c>
      <c r="O28" s="3" t="s">
        <v>326</v>
      </c>
      <c r="P28" s="3" t="s">
        <v>327</v>
      </c>
      <c r="Q28" s="3" t="s">
        <v>328</v>
      </c>
      <c r="R28" s="3" t="s">
        <v>328</v>
      </c>
      <c r="S28" s="2" t="s">
        <v>38</v>
      </c>
      <c r="T28" s="2" t="s">
        <v>39</v>
      </c>
      <c r="U28" s="2" t="s">
        <v>40</v>
      </c>
      <c r="V28" s="3"/>
    </row>
    <row r="29" spans="1:22">
      <c r="A29" s="2">
        <v>28</v>
      </c>
      <c r="B29" s="3" t="s">
        <v>22</v>
      </c>
      <c r="C29" s="3" t="s">
        <v>329</v>
      </c>
      <c r="D29" s="3" t="s">
        <v>330</v>
      </c>
      <c r="E29" s="2" t="s">
        <v>257</v>
      </c>
      <c r="F29" s="2" t="s">
        <v>43</v>
      </c>
      <c r="G29" s="3" t="s">
        <v>331</v>
      </c>
      <c r="H29" s="2" t="s">
        <v>332</v>
      </c>
      <c r="I29" s="3" t="s">
        <v>29</v>
      </c>
      <c r="J29" s="3" t="s">
        <v>333</v>
      </c>
      <c r="K29" s="3" t="s">
        <v>47</v>
      </c>
      <c r="L29" s="3" t="s">
        <v>132</v>
      </c>
      <c r="M29" s="3" t="s">
        <v>334</v>
      </c>
      <c r="N29" s="3" t="s">
        <v>335</v>
      </c>
      <c r="O29" s="3" t="s">
        <v>336</v>
      </c>
      <c r="P29" s="3" t="s">
        <v>337</v>
      </c>
      <c r="Q29" s="3" t="s">
        <v>338</v>
      </c>
      <c r="R29" s="3" t="s">
        <v>338</v>
      </c>
      <c r="S29" s="2" t="s">
        <v>38</v>
      </c>
      <c r="T29" s="2" t="s">
        <v>39</v>
      </c>
      <c r="U29" s="2" t="s">
        <v>40</v>
      </c>
      <c r="V29" s="3"/>
    </row>
    <row r="30" spans="1:22">
      <c r="A30" s="2">
        <v>29</v>
      </c>
      <c r="B30" s="3" t="s">
        <v>22</v>
      </c>
      <c r="C30" s="3" t="s">
        <v>339</v>
      </c>
      <c r="D30" s="3" t="s">
        <v>340</v>
      </c>
      <c r="E30" s="2" t="s">
        <v>69</v>
      </c>
      <c r="F30" s="2" t="s">
        <v>26</v>
      </c>
      <c r="G30" s="3" t="s">
        <v>341</v>
      </c>
      <c r="H30" s="2" t="s">
        <v>342</v>
      </c>
      <c r="I30" s="3" t="s">
        <v>29</v>
      </c>
      <c r="J30" s="3" t="s">
        <v>343</v>
      </c>
      <c r="K30" s="3" t="s">
        <v>47</v>
      </c>
      <c r="L30" s="3" t="s">
        <v>323</v>
      </c>
      <c r="M30" s="3" t="s">
        <v>344</v>
      </c>
      <c r="N30" s="3" t="s">
        <v>345</v>
      </c>
      <c r="O30" s="3" t="s">
        <v>346</v>
      </c>
      <c r="P30" s="3" t="s">
        <v>347</v>
      </c>
      <c r="Q30" s="3" t="s">
        <v>348</v>
      </c>
      <c r="R30" s="3" t="s">
        <v>348</v>
      </c>
      <c r="S30" s="2" t="s">
        <v>38</v>
      </c>
      <c r="T30" s="2" t="s">
        <v>39</v>
      </c>
      <c r="U30" s="2" t="s">
        <v>40</v>
      </c>
      <c r="V30" s="3"/>
    </row>
    <row r="31" spans="1:22">
      <c r="A31" s="2">
        <v>30</v>
      </c>
      <c r="B31" s="3" t="s">
        <v>22</v>
      </c>
      <c r="C31" s="3" t="s">
        <v>349</v>
      </c>
      <c r="D31" s="3" t="s">
        <v>350</v>
      </c>
      <c r="E31" s="2" t="s">
        <v>351</v>
      </c>
      <c r="F31" s="2" t="s">
        <v>26</v>
      </c>
      <c r="G31" s="3" t="s">
        <v>352</v>
      </c>
      <c r="H31" s="2" t="s">
        <v>353</v>
      </c>
      <c r="I31" s="3" t="s">
        <v>29</v>
      </c>
      <c r="J31" s="3" t="s">
        <v>354</v>
      </c>
      <c r="K31" s="3" t="s">
        <v>120</v>
      </c>
      <c r="L31" s="3" t="s">
        <v>108</v>
      </c>
      <c r="M31" s="3" t="s">
        <v>355</v>
      </c>
      <c r="N31" s="3" t="s">
        <v>356</v>
      </c>
      <c r="O31" s="3" t="s">
        <v>357</v>
      </c>
      <c r="P31" s="3" t="s">
        <v>358</v>
      </c>
      <c r="Q31" s="3" t="s">
        <v>359</v>
      </c>
      <c r="R31" s="3" t="s">
        <v>359</v>
      </c>
      <c r="S31" s="2" t="s">
        <v>38</v>
      </c>
      <c r="T31" s="2" t="s">
        <v>39</v>
      </c>
      <c r="U31" s="2" t="s">
        <v>40</v>
      </c>
      <c r="V31" s="3"/>
    </row>
    <row r="32" spans="1:22">
      <c r="A32" s="2">
        <v>31</v>
      </c>
      <c r="B32" s="3" t="s">
        <v>22</v>
      </c>
      <c r="C32" s="3" t="s">
        <v>360</v>
      </c>
      <c r="D32" s="3" t="s">
        <v>361</v>
      </c>
      <c r="E32" s="2" t="s">
        <v>103</v>
      </c>
      <c r="F32" s="2" t="s">
        <v>26</v>
      </c>
      <c r="G32" s="3" t="s">
        <v>362</v>
      </c>
      <c r="H32" s="2" t="s">
        <v>363</v>
      </c>
      <c r="I32" s="3" t="s">
        <v>29</v>
      </c>
      <c r="J32" s="3" t="s">
        <v>364</v>
      </c>
      <c r="K32" s="3" t="s">
        <v>365</v>
      </c>
      <c r="L32" s="3" t="s">
        <v>61</v>
      </c>
      <c r="M32" s="3" t="s">
        <v>366</v>
      </c>
      <c r="N32" s="3" t="s">
        <v>367</v>
      </c>
      <c r="O32" s="3" t="s">
        <v>368</v>
      </c>
      <c r="P32" s="3" t="s">
        <v>369</v>
      </c>
      <c r="Q32" s="3" t="s">
        <v>370</v>
      </c>
      <c r="R32" s="3" t="s">
        <v>370</v>
      </c>
      <c r="S32" s="2" t="s">
        <v>38</v>
      </c>
      <c r="T32" s="2" t="s">
        <v>39</v>
      </c>
      <c r="U32" s="2" t="s">
        <v>40</v>
      </c>
      <c r="V32" s="3"/>
    </row>
    <row r="33" spans="1:22">
      <c r="A33" s="2">
        <v>32</v>
      </c>
      <c r="B33" s="3" t="s">
        <v>22</v>
      </c>
      <c r="C33" s="3" t="s">
        <v>371</v>
      </c>
      <c r="D33" s="3" t="s">
        <v>372</v>
      </c>
      <c r="E33" s="2" t="s">
        <v>56</v>
      </c>
      <c r="F33" s="2" t="s">
        <v>26</v>
      </c>
      <c r="G33" s="3" t="s">
        <v>373</v>
      </c>
      <c r="H33" s="2" t="s">
        <v>374</v>
      </c>
      <c r="I33" s="3" t="s">
        <v>29</v>
      </c>
      <c r="J33" s="3" t="s">
        <v>375</v>
      </c>
      <c r="K33" s="3" t="s">
        <v>47</v>
      </c>
      <c r="L33" s="3" t="s">
        <v>323</v>
      </c>
      <c r="M33" s="3" t="s">
        <v>376</v>
      </c>
      <c r="N33" s="3" t="s">
        <v>377</v>
      </c>
      <c r="O33" s="3" t="s">
        <v>378</v>
      </c>
      <c r="P33" s="3" t="s">
        <v>379</v>
      </c>
      <c r="Q33" s="3" t="s">
        <v>380</v>
      </c>
      <c r="R33" s="3" t="s">
        <v>380</v>
      </c>
      <c r="S33" s="2" t="s">
        <v>38</v>
      </c>
      <c r="T33" s="2" t="s">
        <v>39</v>
      </c>
      <c r="U33" s="2" t="s">
        <v>40</v>
      </c>
      <c r="V33" s="3"/>
    </row>
    <row r="34" spans="1:22">
      <c r="A34" s="2">
        <v>33</v>
      </c>
      <c r="B34" s="3" t="s">
        <v>22</v>
      </c>
      <c r="C34" s="3" t="s">
        <v>381</v>
      </c>
      <c r="D34" s="3" t="s">
        <v>382</v>
      </c>
      <c r="E34" s="2" t="s">
        <v>383</v>
      </c>
      <c r="F34" s="2" t="s">
        <v>43</v>
      </c>
      <c r="G34" s="3" t="s">
        <v>384</v>
      </c>
      <c r="H34" s="2" t="s">
        <v>385</v>
      </c>
      <c r="I34" s="3" t="s">
        <v>29</v>
      </c>
      <c r="J34" s="3" t="s">
        <v>386</v>
      </c>
      <c r="K34" s="3" t="s">
        <v>47</v>
      </c>
      <c r="L34" s="3" t="s">
        <v>48</v>
      </c>
      <c r="M34" s="3" t="s">
        <v>387</v>
      </c>
      <c r="N34" s="3" t="s">
        <v>388</v>
      </c>
      <c r="O34" s="3" t="s">
        <v>389</v>
      </c>
      <c r="P34" s="3" t="s">
        <v>390</v>
      </c>
      <c r="Q34" s="3" t="s">
        <v>391</v>
      </c>
      <c r="R34" s="3" t="s">
        <v>391</v>
      </c>
      <c r="S34" s="2" t="s">
        <v>38</v>
      </c>
      <c r="T34" s="2" t="s">
        <v>39</v>
      </c>
      <c r="U34" s="2" t="s">
        <v>40</v>
      </c>
      <c r="V34" s="3"/>
    </row>
    <row r="35" spans="1:22">
      <c r="A35" s="2">
        <v>34</v>
      </c>
      <c r="B35" s="3" t="s">
        <v>22</v>
      </c>
      <c r="C35" s="3" t="s">
        <v>392</v>
      </c>
      <c r="D35" s="3" t="s">
        <v>393</v>
      </c>
      <c r="E35" s="2" t="s">
        <v>257</v>
      </c>
      <c r="F35" s="2" t="s">
        <v>43</v>
      </c>
      <c r="G35" s="3" t="s">
        <v>394</v>
      </c>
      <c r="H35" s="2" t="s">
        <v>395</v>
      </c>
      <c r="I35" s="3" t="s">
        <v>29</v>
      </c>
      <c r="J35" s="3" t="s">
        <v>396</v>
      </c>
      <c r="K35" s="3" t="s">
        <v>47</v>
      </c>
      <c r="L35" s="3" t="s">
        <v>73</v>
      </c>
      <c r="M35" s="3" t="s">
        <v>397</v>
      </c>
      <c r="N35" s="3" t="s">
        <v>398</v>
      </c>
      <c r="O35" s="3" t="s">
        <v>399</v>
      </c>
      <c r="P35" s="3" t="s">
        <v>400</v>
      </c>
      <c r="Q35" s="3" t="s">
        <v>401</v>
      </c>
      <c r="R35" s="3" t="s">
        <v>401</v>
      </c>
      <c r="S35" s="2" t="s">
        <v>38</v>
      </c>
      <c r="T35" s="2" t="s">
        <v>39</v>
      </c>
      <c r="U35" s="2" t="s">
        <v>40</v>
      </c>
      <c r="V35" s="3"/>
    </row>
    <row r="36" spans="1:22">
      <c r="A36" s="2">
        <v>35</v>
      </c>
      <c r="B36" s="3" t="s">
        <v>22</v>
      </c>
      <c r="C36" s="3" t="s">
        <v>402</v>
      </c>
      <c r="D36" s="3" t="s">
        <v>403</v>
      </c>
      <c r="E36" s="2" t="s">
        <v>404</v>
      </c>
      <c r="F36" s="2" t="s">
        <v>43</v>
      </c>
      <c r="G36" s="3" t="s">
        <v>405</v>
      </c>
      <c r="H36" s="2" t="s">
        <v>406</v>
      </c>
      <c r="I36" s="3" t="s">
        <v>29</v>
      </c>
      <c r="J36" s="3" t="s">
        <v>407</v>
      </c>
      <c r="K36" s="3" t="s">
        <v>272</v>
      </c>
      <c r="L36" s="3" t="s">
        <v>132</v>
      </c>
      <c r="M36" s="3" t="s">
        <v>408</v>
      </c>
      <c r="N36" s="3" t="s">
        <v>409</v>
      </c>
      <c r="O36" s="3" t="s">
        <v>410</v>
      </c>
      <c r="P36" s="3" t="s">
        <v>411</v>
      </c>
      <c r="Q36" s="3" t="s">
        <v>412</v>
      </c>
      <c r="R36" s="3" t="s">
        <v>412</v>
      </c>
      <c r="S36" s="2" t="s">
        <v>38</v>
      </c>
      <c r="T36" s="2" t="s">
        <v>39</v>
      </c>
      <c r="U36" s="2" t="s">
        <v>40</v>
      </c>
      <c r="V36" s="3"/>
    </row>
    <row r="37" spans="1:22">
      <c r="A37" s="2">
        <v>36</v>
      </c>
      <c r="B37" s="3" t="s">
        <v>22</v>
      </c>
      <c r="C37" s="3" t="s">
        <v>413</v>
      </c>
      <c r="D37" s="3" t="s">
        <v>414</v>
      </c>
      <c r="E37" s="2" t="s">
        <v>415</v>
      </c>
      <c r="F37" s="2" t="s">
        <v>43</v>
      </c>
      <c r="G37" s="3" t="s">
        <v>416</v>
      </c>
      <c r="H37" s="2" t="s">
        <v>417</v>
      </c>
      <c r="I37" s="3" t="s">
        <v>29</v>
      </c>
      <c r="J37" s="3" t="s">
        <v>418</v>
      </c>
      <c r="K37" s="3" t="s">
        <v>272</v>
      </c>
      <c r="L37" s="3" t="s">
        <v>132</v>
      </c>
      <c r="M37" s="3" t="s">
        <v>408</v>
      </c>
      <c r="N37" s="3" t="s">
        <v>419</v>
      </c>
      <c r="O37" s="3" t="s">
        <v>420</v>
      </c>
      <c r="P37" s="3" t="s">
        <v>421</v>
      </c>
      <c r="Q37" s="3" t="s">
        <v>422</v>
      </c>
      <c r="R37" s="3" t="s">
        <v>422</v>
      </c>
      <c r="S37" s="2" t="s">
        <v>38</v>
      </c>
      <c r="T37" s="2" t="s">
        <v>39</v>
      </c>
      <c r="U37" s="2" t="s">
        <v>40</v>
      </c>
      <c r="V37" s="3"/>
    </row>
    <row r="38" spans="1:22">
      <c r="A38" s="2">
        <v>37</v>
      </c>
      <c r="B38" s="3" t="s">
        <v>22</v>
      </c>
      <c r="C38" s="3" t="s">
        <v>423</v>
      </c>
      <c r="D38" s="3" t="s">
        <v>424</v>
      </c>
      <c r="E38" s="2" t="s">
        <v>185</v>
      </c>
      <c r="F38" s="2" t="s">
        <v>43</v>
      </c>
      <c r="G38" s="3" t="s">
        <v>425</v>
      </c>
      <c r="H38" s="2" t="s">
        <v>426</v>
      </c>
      <c r="I38" s="3" t="s">
        <v>29</v>
      </c>
      <c r="J38" s="3" t="s">
        <v>427</v>
      </c>
      <c r="K38" s="3" t="s">
        <v>47</v>
      </c>
      <c r="L38" s="3" t="s">
        <v>32</v>
      </c>
      <c r="M38" s="3" t="s">
        <v>428</v>
      </c>
      <c r="N38" s="3" t="s">
        <v>429</v>
      </c>
      <c r="O38" s="3" t="s">
        <v>430</v>
      </c>
      <c r="P38" s="3" t="s">
        <v>431</v>
      </c>
      <c r="Q38" s="3" t="s">
        <v>432</v>
      </c>
      <c r="R38" s="3" t="s">
        <v>432</v>
      </c>
      <c r="S38" s="2" t="s">
        <v>38</v>
      </c>
      <c r="T38" s="2" t="s">
        <v>39</v>
      </c>
      <c r="U38" s="2" t="s">
        <v>40</v>
      </c>
      <c r="V38" s="3"/>
    </row>
    <row r="39" spans="1:22">
      <c r="A39" s="2">
        <v>38</v>
      </c>
      <c r="B39" s="3" t="s">
        <v>22</v>
      </c>
      <c r="C39" s="3" t="s">
        <v>433</v>
      </c>
      <c r="D39" s="3" t="s">
        <v>434</v>
      </c>
      <c r="E39" s="2" t="s">
        <v>116</v>
      </c>
      <c r="F39" s="2" t="s">
        <v>43</v>
      </c>
      <c r="G39" s="3" t="s">
        <v>435</v>
      </c>
      <c r="H39" s="2" t="s">
        <v>436</v>
      </c>
      <c r="I39" s="3" t="s">
        <v>29</v>
      </c>
      <c r="J39" s="3" t="s">
        <v>437</v>
      </c>
      <c r="K39" s="3" t="s">
        <v>47</v>
      </c>
      <c r="L39" s="3" t="s">
        <v>167</v>
      </c>
      <c r="M39" s="3" t="s">
        <v>438</v>
      </c>
      <c r="N39" s="3" t="s">
        <v>439</v>
      </c>
      <c r="O39" s="3" t="s">
        <v>440</v>
      </c>
      <c r="P39" s="3" t="s">
        <v>441</v>
      </c>
      <c r="Q39" s="3" t="s">
        <v>442</v>
      </c>
      <c r="R39" s="3" t="s">
        <v>442</v>
      </c>
      <c r="S39" s="2" t="s">
        <v>38</v>
      </c>
      <c r="T39" s="2" t="s">
        <v>39</v>
      </c>
      <c r="U39" s="2" t="s">
        <v>40</v>
      </c>
      <c r="V39" s="3"/>
    </row>
    <row r="40" spans="1:22">
      <c r="A40" s="2">
        <v>39</v>
      </c>
      <c r="B40" s="3" t="s">
        <v>22</v>
      </c>
      <c r="C40" s="3" t="s">
        <v>443</v>
      </c>
      <c r="D40" s="3" t="s">
        <v>444</v>
      </c>
      <c r="E40" s="2" t="s">
        <v>257</v>
      </c>
      <c r="F40" s="2" t="s">
        <v>43</v>
      </c>
      <c r="G40" s="3" t="s">
        <v>445</v>
      </c>
      <c r="H40" s="2" t="s">
        <v>446</v>
      </c>
      <c r="I40" s="3" t="s">
        <v>29</v>
      </c>
      <c r="J40" s="3" t="s">
        <v>447</v>
      </c>
      <c r="K40" s="3" t="s">
        <v>47</v>
      </c>
      <c r="L40" s="3" t="s">
        <v>448</v>
      </c>
      <c r="M40" s="3" t="s">
        <v>449</v>
      </c>
      <c r="N40" s="3" t="s">
        <v>450</v>
      </c>
      <c r="O40" s="3" t="s">
        <v>451</v>
      </c>
      <c r="P40" s="3" t="s">
        <v>452</v>
      </c>
      <c r="Q40" s="3" t="s">
        <v>453</v>
      </c>
      <c r="R40" s="3" t="s">
        <v>453</v>
      </c>
      <c r="S40" s="2" t="s">
        <v>38</v>
      </c>
      <c r="T40" s="2" t="s">
        <v>39</v>
      </c>
      <c r="U40" s="2" t="s">
        <v>40</v>
      </c>
      <c r="V40" s="3"/>
    </row>
    <row r="41" spans="1:22">
      <c r="A41" s="2">
        <v>40</v>
      </c>
      <c r="B41" s="3" t="s">
        <v>22</v>
      </c>
      <c r="C41" s="3" t="s">
        <v>454</v>
      </c>
      <c r="D41" s="3" t="s">
        <v>455</v>
      </c>
      <c r="E41" s="2" t="s">
        <v>25</v>
      </c>
      <c r="F41" s="2" t="s">
        <v>43</v>
      </c>
      <c r="G41" s="3" t="s">
        <v>456</v>
      </c>
      <c r="H41" s="2" t="s">
        <v>457</v>
      </c>
      <c r="I41" s="3" t="s">
        <v>29</v>
      </c>
      <c r="J41" s="3" t="s">
        <v>458</v>
      </c>
      <c r="K41" s="3" t="s">
        <v>47</v>
      </c>
      <c r="L41" s="3" t="s">
        <v>32</v>
      </c>
      <c r="M41" s="3" t="s">
        <v>459</v>
      </c>
      <c r="N41" s="3" t="s">
        <v>460</v>
      </c>
      <c r="O41" s="3" t="s">
        <v>461</v>
      </c>
      <c r="P41" s="3" t="s">
        <v>462</v>
      </c>
      <c r="Q41" s="3" t="s">
        <v>463</v>
      </c>
      <c r="R41" s="3" t="s">
        <v>463</v>
      </c>
      <c r="S41" s="2" t="s">
        <v>38</v>
      </c>
      <c r="T41" s="2" t="s">
        <v>39</v>
      </c>
      <c r="U41" s="2" t="s">
        <v>40</v>
      </c>
      <c r="V41" s="3"/>
    </row>
    <row r="42" spans="1:22">
      <c r="A42" s="2">
        <v>41</v>
      </c>
      <c r="B42" s="3" t="s">
        <v>22</v>
      </c>
      <c r="C42" s="3" t="s">
        <v>464</v>
      </c>
      <c r="D42" s="3" t="s">
        <v>465</v>
      </c>
      <c r="E42" s="2" t="s">
        <v>25</v>
      </c>
      <c r="F42" s="2" t="s">
        <v>26</v>
      </c>
      <c r="G42" s="3" t="s">
        <v>466</v>
      </c>
      <c r="H42" s="2" t="s">
        <v>467</v>
      </c>
      <c r="I42" s="3" t="s">
        <v>29</v>
      </c>
      <c r="J42" s="3" t="s">
        <v>468</v>
      </c>
      <c r="K42" s="3" t="s">
        <v>47</v>
      </c>
      <c r="L42" s="3" t="s">
        <v>132</v>
      </c>
      <c r="M42" s="3" t="s">
        <v>469</v>
      </c>
      <c r="N42" s="3" t="s">
        <v>470</v>
      </c>
      <c r="O42" s="3" t="s">
        <v>471</v>
      </c>
      <c r="P42" s="3" t="s">
        <v>472</v>
      </c>
      <c r="Q42" s="3" t="s">
        <v>473</v>
      </c>
      <c r="R42" s="3" t="s">
        <v>473</v>
      </c>
      <c r="S42" s="2" t="s">
        <v>38</v>
      </c>
      <c r="T42" s="2" t="s">
        <v>39</v>
      </c>
      <c r="U42" s="2" t="s">
        <v>40</v>
      </c>
      <c r="V42" s="3"/>
    </row>
    <row r="43" spans="1:22">
      <c r="A43" s="2">
        <v>42</v>
      </c>
      <c r="B43" s="3" t="s">
        <v>22</v>
      </c>
      <c r="C43" s="3" t="s">
        <v>474</v>
      </c>
      <c r="D43" s="3" t="s">
        <v>475</v>
      </c>
      <c r="E43" s="2" t="s">
        <v>69</v>
      </c>
      <c r="F43" s="2" t="s">
        <v>43</v>
      </c>
      <c r="G43" s="3" t="s">
        <v>476</v>
      </c>
      <c r="H43" s="2" t="s">
        <v>477</v>
      </c>
      <c r="I43" s="3" t="s">
        <v>29</v>
      </c>
      <c r="J43" s="3" t="s">
        <v>478</v>
      </c>
      <c r="K43" s="3" t="s">
        <v>261</v>
      </c>
      <c r="L43" s="3" t="s">
        <v>32</v>
      </c>
      <c r="M43" s="3" t="s">
        <v>479</v>
      </c>
      <c r="N43" s="3" t="s">
        <v>480</v>
      </c>
      <c r="O43" s="3" t="s">
        <v>481</v>
      </c>
      <c r="P43" s="3" t="s">
        <v>482</v>
      </c>
      <c r="Q43" s="3" t="s">
        <v>483</v>
      </c>
      <c r="R43" s="3" t="s">
        <v>483</v>
      </c>
      <c r="S43" s="2" t="s">
        <v>38</v>
      </c>
      <c r="T43" s="2" t="s">
        <v>39</v>
      </c>
      <c r="U43" s="2" t="s">
        <v>40</v>
      </c>
      <c r="V43" s="3"/>
    </row>
    <row r="44" spans="1:22">
      <c r="A44" s="2">
        <v>43</v>
      </c>
      <c r="B44" s="3" t="s">
        <v>22</v>
      </c>
      <c r="C44" s="3" t="s">
        <v>484</v>
      </c>
      <c r="D44" s="3" t="s">
        <v>485</v>
      </c>
      <c r="E44" s="2" t="s">
        <v>185</v>
      </c>
      <c r="F44" s="2" t="s">
        <v>43</v>
      </c>
      <c r="G44" s="3" t="s">
        <v>486</v>
      </c>
      <c r="H44" s="2" t="s">
        <v>487</v>
      </c>
      <c r="I44" s="3" t="s">
        <v>29</v>
      </c>
      <c r="J44" s="3" t="s">
        <v>488</v>
      </c>
      <c r="K44" s="3" t="s">
        <v>47</v>
      </c>
      <c r="L44" s="3" t="s">
        <v>145</v>
      </c>
      <c r="M44" s="3" t="s">
        <v>489</v>
      </c>
      <c r="N44" s="3" t="s">
        <v>490</v>
      </c>
      <c r="O44" s="3" t="s">
        <v>491</v>
      </c>
      <c r="P44" s="3" t="s">
        <v>492</v>
      </c>
      <c r="Q44" s="3" t="s">
        <v>493</v>
      </c>
      <c r="R44" s="3" t="s">
        <v>493</v>
      </c>
      <c r="S44" s="2" t="s">
        <v>38</v>
      </c>
      <c r="T44" s="2" t="s">
        <v>39</v>
      </c>
      <c r="U44" s="2" t="s">
        <v>40</v>
      </c>
      <c r="V44" s="3"/>
    </row>
    <row r="45" spans="1:22">
      <c r="A45" s="2">
        <v>44</v>
      </c>
      <c r="B45" s="3" t="s">
        <v>22</v>
      </c>
      <c r="C45" s="3" t="s">
        <v>494</v>
      </c>
      <c r="D45" s="3" t="s">
        <v>495</v>
      </c>
      <c r="E45" s="2" t="s">
        <v>206</v>
      </c>
      <c r="F45" s="2" t="s">
        <v>26</v>
      </c>
      <c r="G45" s="3" t="s">
        <v>496</v>
      </c>
      <c r="H45" s="2" t="s">
        <v>497</v>
      </c>
      <c r="I45" s="3" t="s">
        <v>29</v>
      </c>
      <c r="J45" s="3" t="s">
        <v>498</v>
      </c>
      <c r="K45" s="3" t="s">
        <v>107</v>
      </c>
      <c r="L45" s="3" t="s">
        <v>167</v>
      </c>
      <c r="M45" s="3" t="s">
        <v>499</v>
      </c>
      <c r="N45" s="3" t="s">
        <v>500</v>
      </c>
      <c r="O45" s="3" t="s">
        <v>501</v>
      </c>
      <c r="P45" s="3" t="s">
        <v>502</v>
      </c>
      <c r="Q45" s="3" t="s">
        <v>503</v>
      </c>
      <c r="R45" s="3" t="s">
        <v>503</v>
      </c>
      <c r="S45" s="2" t="s">
        <v>38</v>
      </c>
      <c r="T45" s="2" t="s">
        <v>39</v>
      </c>
      <c r="U45" s="2" t="s">
        <v>40</v>
      </c>
      <c r="V45" s="3"/>
    </row>
    <row r="46" spans="1:22">
      <c r="A46" s="2">
        <v>45</v>
      </c>
      <c r="B46" s="3" t="s">
        <v>22</v>
      </c>
      <c r="C46" s="3" t="s">
        <v>504</v>
      </c>
      <c r="D46" s="3" t="s">
        <v>505</v>
      </c>
      <c r="E46" s="2" t="s">
        <v>506</v>
      </c>
      <c r="F46" s="2" t="s">
        <v>43</v>
      </c>
      <c r="G46" s="3" t="s">
        <v>507</v>
      </c>
      <c r="H46" s="2" t="s">
        <v>508</v>
      </c>
      <c r="I46" s="3" t="s">
        <v>29</v>
      </c>
      <c r="J46" s="3" t="s">
        <v>509</v>
      </c>
      <c r="K46" s="3" t="s">
        <v>47</v>
      </c>
      <c r="L46" s="3" t="s">
        <v>145</v>
      </c>
      <c r="M46" s="3" t="s">
        <v>510</v>
      </c>
      <c r="N46" s="3" t="s">
        <v>511</v>
      </c>
      <c r="O46" s="3" t="s">
        <v>512</v>
      </c>
      <c r="P46" s="3" t="s">
        <v>513</v>
      </c>
      <c r="Q46" s="3" t="s">
        <v>514</v>
      </c>
      <c r="R46" s="3" t="s">
        <v>514</v>
      </c>
      <c r="S46" s="2" t="s">
        <v>38</v>
      </c>
      <c r="T46" s="2" t="s">
        <v>39</v>
      </c>
      <c r="U46" s="2" t="s">
        <v>40</v>
      </c>
      <c r="V46" s="3"/>
    </row>
    <row r="47" spans="1:22">
      <c r="A47" s="2">
        <v>46</v>
      </c>
      <c r="B47" s="3" t="s">
        <v>22</v>
      </c>
      <c r="C47" s="3" t="s">
        <v>515</v>
      </c>
      <c r="D47" s="3" t="s">
        <v>516</v>
      </c>
      <c r="E47" s="2" t="s">
        <v>116</v>
      </c>
      <c r="F47" s="2" t="s">
        <v>26</v>
      </c>
      <c r="G47" s="3" t="s">
        <v>517</v>
      </c>
      <c r="H47" s="2" t="s">
        <v>518</v>
      </c>
      <c r="I47" s="3" t="s">
        <v>29</v>
      </c>
      <c r="J47" s="3" t="s">
        <v>519</v>
      </c>
      <c r="K47" s="3" t="s">
        <v>47</v>
      </c>
      <c r="L47" s="3" t="s">
        <v>167</v>
      </c>
      <c r="M47" s="3" t="s">
        <v>520</v>
      </c>
      <c r="N47" s="3" t="s">
        <v>521</v>
      </c>
      <c r="O47" s="3" t="s">
        <v>522</v>
      </c>
      <c r="P47" s="3" t="s">
        <v>523</v>
      </c>
      <c r="Q47" s="3" t="s">
        <v>524</v>
      </c>
      <c r="R47" s="3" t="s">
        <v>524</v>
      </c>
      <c r="S47" s="2" t="s">
        <v>38</v>
      </c>
      <c r="T47" s="2" t="s">
        <v>39</v>
      </c>
      <c r="U47" s="2" t="s">
        <v>40</v>
      </c>
      <c r="V47" s="3"/>
    </row>
    <row r="48" spans="1:22">
      <c r="A48" s="2">
        <v>47</v>
      </c>
      <c r="B48" s="3" t="s">
        <v>22</v>
      </c>
      <c r="C48" s="3" t="s">
        <v>525</v>
      </c>
      <c r="D48" s="3" t="s">
        <v>526</v>
      </c>
      <c r="E48" s="2" t="s">
        <v>116</v>
      </c>
      <c r="F48" s="2" t="s">
        <v>26</v>
      </c>
      <c r="G48" s="3" t="s">
        <v>527</v>
      </c>
      <c r="H48" s="2" t="s">
        <v>528</v>
      </c>
      <c r="I48" s="3" t="s">
        <v>29</v>
      </c>
      <c r="J48" s="3" t="s">
        <v>529</v>
      </c>
      <c r="K48" s="3" t="s">
        <v>47</v>
      </c>
      <c r="L48" s="3" t="s">
        <v>323</v>
      </c>
      <c r="M48" s="3" t="s">
        <v>530</v>
      </c>
      <c r="N48" s="3" t="s">
        <v>531</v>
      </c>
      <c r="O48" s="3" t="s">
        <v>532</v>
      </c>
      <c r="P48" s="3" t="s">
        <v>533</v>
      </c>
      <c r="Q48" s="3" t="s">
        <v>534</v>
      </c>
      <c r="R48" s="3" t="s">
        <v>534</v>
      </c>
      <c r="S48" s="2" t="s">
        <v>38</v>
      </c>
      <c r="T48" s="2" t="s">
        <v>39</v>
      </c>
      <c r="U48" s="2" t="s">
        <v>40</v>
      </c>
      <c r="V48" s="3"/>
    </row>
    <row r="49" spans="1:22">
      <c r="A49" s="2">
        <v>48</v>
      </c>
      <c r="B49" s="3" t="s">
        <v>22</v>
      </c>
      <c r="C49" s="3" t="s">
        <v>535</v>
      </c>
      <c r="D49" s="3" t="s">
        <v>536</v>
      </c>
      <c r="E49" s="2" t="s">
        <v>537</v>
      </c>
      <c r="F49" s="2" t="s">
        <v>26</v>
      </c>
      <c r="G49" s="3" t="s">
        <v>538</v>
      </c>
      <c r="H49" s="2" t="s">
        <v>539</v>
      </c>
      <c r="I49" s="3" t="s">
        <v>29</v>
      </c>
      <c r="J49" s="3" t="s">
        <v>540</v>
      </c>
      <c r="K49" s="3" t="s">
        <v>541</v>
      </c>
      <c r="L49" s="3" t="s">
        <v>48</v>
      </c>
      <c r="M49" s="3" t="s">
        <v>542</v>
      </c>
      <c r="N49" s="3" t="s">
        <v>543</v>
      </c>
      <c r="O49" s="3" t="s">
        <v>544</v>
      </c>
      <c r="P49" s="3" t="s">
        <v>545</v>
      </c>
      <c r="Q49" s="3" t="s">
        <v>546</v>
      </c>
      <c r="R49" s="3" t="s">
        <v>546</v>
      </c>
      <c r="S49" s="2" t="s">
        <v>38</v>
      </c>
      <c r="T49" s="2" t="s">
        <v>39</v>
      </c>
      <c r="U49" s="2" t="s">
        <v>40</v>
      </c>
      <c r="V49" s="3"/>
    </row>
    <row r="50" spans="1:22">
      <c r="A50" s="2">
        <v>49</v>
      </c>
      <c r="B50" s="3" t="s">
        <v>22</v>
      </c>
      <c r="C50" s="3" t="s">
        <v>547</v>
      </c>
      <c r="D50" s="3" t="s">
        <v>548</v>
      </c>
      <c r="E50" s="2" t="s">
        <v>404</v>
      </c>
      <c r="F50" s="2" t="s">
        <v>26</v>
      </c>
      <c r="G50" s="3" t="s">
        <v>549</v>
      </c>
      <c r="H50" s="2" t="s">
        <v>550</v>
      </c>
      <c r="I50" s="3" t="s">
        <v>29</v>
      </c>
      <c r="J50" s="3" t="s">
        <v>551</v>
      </c>
      <c r="K50" s="3" t="s">
        <v>47</v>
      </c>
      <c r="L50" s="3" t="s">
        <v>323</v>
      </c>
      <c r="M50" s="3" t="s">
        <v>552</v>
      </c>
      <c r="N50" s="3" t="s">
        <v>553</v>
      </c>
      <c r="O50" s="3" t="s">
        <v>554</v>
      </c>
      <c r="P50" s="3" t="s">
        <v>555</v>
      </c>
      <c r="Q50" s="3" t="s">
        <v>556</v>
      </c>
      <c r="R50" s="3" t="s">
        <v>556</v>
      </c>
      <c r="S50" s="2" t="s">
        <v>38</v>
      </c>
      <c r="T50" s="2" t="s">
        <v>39</v>
      </c>
      <c r="U50" s="2" t="s">
        <v>40</v>
      </c>
      <c r="V50" s="3"/>
    </row>
    <row r="51" spans="1:22">
      <c r="A51" s="2">
        <v>50</v>
      </c>
      <c r="B51" s="3" t="s">
        <v>22</v>
      </c>
      <c r="C51" s="3" t="s">
        <v>557</v>
      </c>
      <c r="D51" s="3" t="s">
        <v>558</v>
      </c>
      <c r="E51" s="2" t="s">
        <v>257</v>
      </c>
      <c r="F51" s="2" t="s">
        <v>43</v>
      </c>
      <c r="G51" s="3" t="s">
        <v>559</v>
      </c>
      <c r="H51" s="2" t="s">
        <v>560</v>
      </c>
      <c r="I51" s="3" t="s">
        <v>29</v>
      </c>
      <c r="J51" s="3" t="s">
        <v>561</v>
      </c>
      <c r="K51" s="3" t="s">
        <v>47</v>
      </c>
      <c r="L51" s="3" t="s">
        <v>132</v>
      </c>
      <c r="M51" s="3" t="s">
        <v>562</v>
      </c>
      <c r="N51" s="3" t="s">
        <v>563</v>
      </c>
      <c r="O51" s="3" t="s">
        <v>564</v>
      </c>
      <c r="P51" s="3" t="s">
        <v>565</v>
      </c>
      <c r="Q51" s="3" t="s">
        <v>566</v>
      </c>
      <c r="R51" s="3" t="s">
        <v>566</v>
      </c>
      <c r="S51" s="2" t="s">
        <v>38</v>
      </c>
      <c r="T51" s="2" t="s">
        <v>39</v>
      </c>
      <c r="U51" s="2" t="s">
        <v>40</v>
      </c>
      <c r="V51" s="3"/>
    </row>
    <row r="52" spans="1:22">
      <c r="A52" s="2">
        <v>51</v>
      </c>
      <c r="B52" s="3" t="s">
        <v>567</v>
      </c>
      <c r="C52" s="3" t="s">
        <v>568</v>
      </c>
      <c r="D52" s="3" t="s">
        <v>569</v>
      </c>
      <c r="E52" s="2" t="s">
        <v>185</v>
      </c>
      <c r="F52" s="2" t="s">
        <v>26</v>
      </c>
      <c r="G52" s="3" t="s">
        <v>570</v>
      </c>
      <c r="H52" s="2" t="s">
        <v>571</v>
      </c>
      <c r="I52" s="3" t="s">
        <v>29</v>
      </c>
      <c r="J52" s="3" t="s">
        <v>572</v>
      </c>
      <c r="K52" s="3" t="s">
        <v>47</v>
      </c>
      <c r="L52" s="3" t="s">
        <v>132</v>
      </c>
      <c r="M52" s="3" t="s">
        <v>573</v>
      </c>
      <c r="N52" s="3" t="s">
        <v>574</v>
      </c>
      <c r="O52" s="3" t="s">
        <v>575</v>
      </c>
      <c r="P52" s="3" t="s">
        <v>576</v>
      </c>
      <c r="Q52" s="3" t="s">
        <v>577</v>
      </c>
      <c r="R52" s="3" t="s">
        <v>577</v>
      </c>
      <c r="S52" s="2" t="s">
        <v>38</v>
      </c>
      <c r="T52" s="2" t="s">
        <v>39</v>
      </c>
      <c r="U52" s="2" t="s">
        <v>40</v>
      </c>
      <c r="V52" s="3"/>
    </row>
    <row r="53" spans="1:22">
      <c r="A53" s="2">
        <v>52</v>
      </c>
      <c r="B53" s="3" t="s">
        <v>567</v>
      </c>
      <c r="C53" s="3" t="s">
        <v>578</v>
      </c>
      <c r="D53" s="3" t="s">
        <v>579</v>
      </c>
      <c r="E53" s="2" t="s">
        <v>404</v>
      </c>
      <c r="F53" s="2" t="s">
        <v>26</v>
      </c>
      <c r="G53" s="3" t="s">
        <v>580</v>
      </c>
      <c r="H53" s="2" t="s">
        <v>581</v>
      </c>
      <c r="I53" s="3" t="s">
        <v>29</v>
      </c>
      <c r="J53" s="3" t="s">
        <v>582</v>
      </c>
      <c r="K53" s="3" t="s">
        <v>47</v>
      </c>
      <c r="L53" s="3" t="s">
        <v>108</v>
      </c>
      <c r="M53" s="3" t="s">
        <v>583</v>
      </c>
      <c r="N53" s="3" t="s">
        <v>584</v>
      </c>
      <c r="O53" s="3" t="s">
        <v>585</v>
      </c>
      <c r="P53" s="3" t="s">
        <v>586</v>
      </c>
      <c r="Q53" s="3" t="s">
        <v>587</v>
      </c>
      <c r="R53" s="3" t="s">
        <v>587</v>
      </c>
      <c r="S53" s="2" t="s">
        <v>38</v>
      </c>
      <c r="T53" s="2" t="s">
        <v>39</v>
      </c>
      <c r="U53" s="2" t="s">
        <v>40</v>
      </c>
      <c r="V53" s="3"/>
    </row>
    <row r="54" spans="1:22">
      <c r="A54" s="2">
        <v>53</v>
      </c>
      <c r="B54" s="3" t="s">
        <v>567</v>
      </c>
      <c r="C54" s="3" t="s">
        <v>588</v>
      </c>
      <c r="D54" s="3" t="s">
        <v>589</v>
      </c>
      <c r="E54" s="2" t="s">
        <v>206</v>
      </c>
      <c r="F54" s="2" t="s">
        <v>26</v>
      </c>
      <c r="G54" s="3" t="s">
        <v>590</v>
      </c>
      <c r="H54" s="2" t="s">
        <v>591</v>
      </c>
      <c r="I54" s="3" t="s">
        <v>29</v>
      </c>
      <c r="J54" s="3" t="s">
        <v>592</v>
      </c>
      <c r="K54" s="3" t="s">
        <v>47</v>
      </c>
      <c r="L54" s="3" t="s">
        <v>167</v>
      </c>
      <c r="M54" s="3" t="s">
        <v>593</v>
      </c>
      <c r="N54" s="3" t="s">
        <v>594</v>
      </c>
      <c r="O54" s="3" t="s">
        <v>595</v>
      </c>
      <c r="P54" s="3" t="s">
        <v>596</v>
      </c>
      <c r="Q54" s="3" t="s">
        <v>597</v>
      </c>
      <c r="R54" s="3" t="s">
        <v>597</v>
      </c>
      <c r="S54" s="2" t="s">
        <v>38</v>
      </c>
      <c r="T54" s="2" t="s">
        <v>39</v>
      </c>
      <c r="U54" s="2" t="s">
        <v>40</v>
      </c>
      <c r="V54" s="3"/>
    </row>
    <row r="55" spans="1:22">
      <c r="A55" s="2">
        <v>54</v>
      </c>
      <c r="B55" s="3" t="s">
        <v>567</v>
      </c>
      <c r="C55" s="3" t="s">
        <v>598</v>
      </c>
      <c r="D55" s="3" t="s">
        <v>599</v>
      </c>
      <c r="E55" s="2" t="s">
        <v>116</v>
      </c>
      <c r="F55" s="2" t="s">
        <v>26</v>
      </c>
      <c r="G55" s="3" t="s">
        <v>600</v>
      </c>
      <c r="H55" s="2" t="s">
        <v>601</v>
      </c>
      <c r="I55" s="3" t="s">
        <v>29</v>
      </c>
      <c r="J55" s="3" t="s">
        <v>602</v>
      </c>
      <c r="K55" s="3" t="s">
        <v>47</v>
      </c>
      <c r="L55" s="3" t="s">
        <v>603</v>
      </c>
      <c r="M55" s="3" t="s">
        <v>604</v>
      </c>
      <c r="N55" s="3" t="s">
        <v>605</v>
      </c>
      <c r="O55" s="3" t="s">
        <v>606</v>
      </c>
      <c r="P55" s="3" t="s">
        <v>607</v>
      </c>
      <c r="Q55" s="3" t="s">
        <v>608</v>
      </c>
      <c r="R55" s="3" t="s">
        <v>608</v>
      </c>
      <c r="S55" s="2" t="s">
        <v>38</v>
      </c>
      <c r="T55" s="2" t="s">
        <v>39</v>
      </c>
      <c r="U55" s="2" t="s">
        <v>40</v>
      </c>
      <c r="V55" s="3"/>
    </row>
    <row r="56" spans="1:22">
      <c r="A56" s="2">
        <v>55</v>
      </c>
      <c r="B56" s="3" t="s">
        <v>567</v>
      </c>
      <c r="C56" s="3" t="s">
        <v>609</v>
      </c>
      <c r="D56" s="3" t="s">
        <v>610</v>
      </c>
      <c r="E56" s="2" t="s">
        <v>257</v>
      </c>
      <c r="F56" s="2" t="s">
        <v>26</v>
      </c>
      <c r="G56" s="3" t="s">
        <v>611</v>
      </c>
      <c r="H56" s="2" t="s">
        <v>612</v>
      </c>
      <c r="I56" s="3" t="s">
        <v>29</v>
      </c>
      <c r="J56" s="3" t="s">
        <v>613</v>
      </c>
      <c r="K56" s="3" t="s">
        <v>47</v>
      </c>
      <c r="L56" s="3" t="s">
        <v>132</v>
      </c>
      <c r="M56" s="3" t="s">
        <v>614</v>
      </c>
      <c r="N56" s="3" t="s">
        <v>615</v>
      </c>
      <c r="O56" s="3" t="s">
        <v>616</v>
      </c>
      <c r="P56" s="3" t="s">
        <v>617</v>
      </c>
      <c r="Q56" s="3" t="s">
        <v>618</v>
      </c>
      <c r="R56" s="3" t="s">
        <v>618</v>
      </c>
      <c r="S56" s="2" t="s">
        <v>38</v>
      </c>
      <c r="T56" s="2" t="s">
        <v>39</v>
      </c>
      <c r="U56" s="2" t="s">
        <v>40</v>
      </c>
      <c r="V56" s="3"/>
    </row>
    <row r="57" spans="1:22">
      <c r="A57" s="2">
        <v>56</v>
      </c>
      <c r="B57" s="3" t="s">
        <v>567</v>
      </c>
      <c r="C57" s="3" t="s">
        <v>619</v>
      </c>
      <c r="D57" s="3" t="s">
        <v>620</v>
      </c>
      <c r="E57" s="2" t="s">
        <v>621</v>
      </c>
      <c r="F57" s="2" t="s">
        <v>26</v>
      </c>
      <c r="G57" s="3" t="s">
        <v>622</v>
      </c>
      <c r="H57" s="2" t="s">
        <v>623</v>
      </c>
      <c r="I57" s="3" t="s">
        <v>29</v>
      </c>
      <c r="J57" s="3" t="s">
        <v>624</v>
      </c>
      <c r="K57" s="3" t="s">
        <v>120</v>
      </c>
      <c r="L57" s="3" t="s">
        <v>323</v>
      </c>
      <c r="M57" s="3" t="s">
        <v>625</v>
      </c>
      <c r="N57" s="3" t="s">
        <v>626</v>
      </c>
      <c r="O57" s="3" t="s">
        <v>627</v>
      </c>
      <c r="P57" s="3" t="s">
        <v>628</v>
      </c>
      <c r="Q57" s="3" t="s">
        <v>629</v>
      </c>
      <c r="R57" s="3" t="s">
        <v>629</v>
      </c>
      <c r="S57" s="2" t="s">
        <v>38</v>
      </c>
      <c r="T57" s="2" t="s">
        <v>39</v>
      </c>
      <c r="U57" s="2" t="s">
        <v>40</v>
      </c>
      <c r="V57" s="3"/>
    </row>
    <row r="58" spans="1:22">
      <c r="A58" s="2">
        <v>57</v>
      </c>
      <c r="B58" s="3" t="s">
        <v>567</v>
      </c>
      <c r="C58" s="3" t="s">
        <v>630</v>
      </c>
      <c r="D58" s="3" t="s">
        <v>631</v>
      </c>
      <c r="E58" s="2" t="s">
        <v>25</v>
      </c>
      <c r="F58" s="2" t="s">
        <v>26</v>
      </c>
      <c r="G58" s="3" t="s">
        <v>632</v>
      </c>
      <c r="H58" s="2" t="s">
        <v>633</v>
      </c>
      <c r="I58" s="3" t="s">
        <v>29</v>
      </c>
      <c r="J58" s="3" t="s">
        <v>634</v>
      </c>
      <c r="K58" s="3" t="s">
        <v>47</v>
      </c>
      <c r="L58" s="3" t="s">
        <v>132</v>
      </c>
      <c r="M58" s="3" t="s">
        <v>635</v>
      </c>
      <c r="N58" s="3" t="s">
        <v>636</v>
      </c>
      <c r="O58" s="3" t="s">
        <v>637</v>
      </c>
      <c r="P58" s="3" t="s">
        <v>638</v>
      </c>
      <c r="Q58" s="3" t="s">
        <v>639</v>
      </c>
      <c r="R58" s="3" t="s">
        <v>639</v>
      </c>
      <c r="S58" s="2" t="s">
        <v>38</v>
      </c>
      <c r="T58" s="2" t="s">
        <v>39</v>
      </c>
      <c r="U58" s="2" t="s">
        <v>40</v>
      </c>
      <c r="V58" s="3"/>
    </row>
    <row r="59" spans="1:22">
      <c r="A59" s="2">
        <v>58</v>
      </c>
      <c r="B59" s="3" t="s">
        <v>567</v>
      </c>
      <c r="C59" s="3" t="s">
        <v>640</v>
      </c>
      <c r="D59" s="3" t="s">
        <v>641</v>
      </c>
      <c r="E59" s="2" t="s">
        <v>642</v>
      </c>
      <c r="F59" s="2" t="s">
        <v>26</v>
      </c>
      <c r="G59" s="3" t="s">
        <v>643</v>
      </c>
      <c r="H59" s="2" t="s">
        <v>644</v>
      </c>
      <c r="I59" s="3" t="s">
        <v>29</v>
      </c>
      <c r="J59" s="3" t="s">
        <v>645</v>
      </c>
      <c r="K59" s="3" t="s">
        <v>47</v>
      </c>
      <c r="L59" s="3" t="s">
        <v>132</v>
      </c>
      <c r="M59" s="3" t="s">
        <v>646</v>
      </c>
      <c r="N59" s="3" t="s">
        <v>647</v>
      </c>
      <c r="O59" s="3" t="s">
        <v>648</v>
      </c>
      <c r="P59" s="3" t="s">
        <v>649</v>
      </c>
      <c r="Q59" s="3" t="s">
        <v>650</v>
      </c>
      <c r="R59" s="3" t="s">
        <v>650</v>
      </c>
      <c r="S59" s="2" t="s">
        <v>38</v>
      </c>
      <c r="T59" s="2" t="s">
        <v>39</v>
      </c>
      <c r="U59" s="2" t="s">
        <v>40</v>
      </c>
      <c r="V59" s="3"/>
    </row>
    <row r="60" spans="1:22">
      <c r="A60" s="2">
        <v>59</v>
      </c>
      <c r="B60" s="3" t="s">
        <v>567</v>
      </c>
      <c r="C60" s="3" t="s">
        <v>651</v>
      </c>
      <c r="D60" s="3" t="s">
        <v>652</v>
      </c>
      <c r="E60" s="2" t="s">
        <v>506</v>
      </c>
      <c r="F60" s="2" t="s">
        <v>26</v>
      </c>
      <c r="G60" s="3" t="s">
        <v>653</v>
      </c>
      <c r="H60" s="2" t="s">
        <v>654</v>
      </c>
      <c r="I60" s="3" t="s">
        <v>29</v>
      </c>
      <c r="J60" s="3" t="s">
        <v>655</v>
      </c>
      <c r="K60" s="3" t="s">
        <v>47</v>
      </c>
      <c r="L60" s="3" t="s">
        <v>167</v>
      </c>
      <c r="M60" s="3" t="s">
        <v>656</v>
      </c>
      <c r="N60" s="3" t="s">
        <v>657</v>
      </c>
      <c r="O60" s="3" t="s">
        <v>658</v>
      </c>
      <c r="P60" s="3" t="s">
        <v>659</v>
      </c>
      <c r="Q60" s="3" t="s">
        <v>660</v>
      </c>
      <c r="R60" s="3" t="s">
        <v>660</v>
      </c>
      <c r="S60" s="2" t="s">
        <v>38</v>
      </c>
      <c r="T60" s="2" t="s">
        <v>39</v>
      </c>
      <c r="U60" s="2" t="s">
        <v>40</v>
      </c>
      <c r="V60" s="3"/>
    </row>
    <row r="61" spans="1:22">
      <c r="A61" s="2">
        <v>60</v>
      </c>
      <c r="B61" s="3" t="s">
        <v>567</v>
      </c>
      <c r="C61" s="3" t="s">
        <v>661</v>
      </c>
      <c r="D61" s="3" t="s">
        <v>662</v>
      </c>
      <c r="E61" s="2" t="s">
        <v>25</v>
      </c>
      <c r="F61" s="2" t="s">
        <v>26</v>
      </c>
      <c r="G61" s="3" t="s">
        <v>663</v>
      </c>
      <c r="H61" s="2" t="s">
        <v>664</v>
      </c>
      <c r="I61" s="3" t="s">
        <v>29</v>
      </c>
      <c r="J61" s="3" t="s">
        <v>665</v>
      </c>
      <c r="K61" s="3" t="s">
        <v>47</v>
      </c>
      <c r="L61" s="3" t="s">
        <v>167</v>
      </c>
      <c r="M61" s="3" t="s">
        <v>666</v>
      </c>
      <c r="N61" s="3" t="s">
        <v>667</v>
      </c>
      <c r="O61" s="3" t="s">
        <v>668</v>
      </c>
      <c r="P61" s="3" t="s">
        <v>669</v>
      </c>
      <c r="Q61" s="3" t="s">
        <v>670</v>
      </c>
      <c r="R61" s="3" t="s">
        <v>670</v>
      </c>
      <c r="S61" s="2" t="s">
        <v>38</v>
      </c>
      <c r="T61" s="2" t="s">
        <v>39</v>
      </c>
      <c r="U61" s="2" t="s">
        <v>40</v>
      </c>
      <c r="V61" s="3"/>
    </row>
    <row r="62" spans="1:22">
      <c r="A62" s="2">
        <v>61</v>
      </c>
      <c r="B62" s="3" t="s">
        <v>567</v>
      </c>
      <c r="C62" s="3" t="s">
        <v>671</v>
      </c>
      <c r="D62" s="3" t="s">
        <v>672</v>
      </c>
      <c r="E62" s="2" t="s">
        <v>185</v>
      </c>
      <c r="F62" s="2" t="s">
        <v>43</v>
      </c>
      <c r="G62" s="3" t="s">
        <v>673</v>
      </c>
      <c r="H62" s="2" t="s">
        <v>674</v>
      </c>
      <c r="I62" s="3" t="s">
        <v>29</v>
      </c>
      <c r="J62" s="3" t="s">
        <v>675</v>
      </c>
      <c r="K62" s="3" t="s">
        <v>107</v>
      </c>
      <c r="L62" s="3" t="s">
        <v>108</v>
      </c>
      <c r="M62" s="3" t="s">
        <v>676</v>
      </c>
      <c r="N62" s="3" t="s">
        <v>677</v>
      </c>
      <c r="O62" s="3" t="s">
        <v>678</v>
      </c>
      <c r="P62" s="3" t="s">
        <v>679</v>
      </c>
      <c r="Q62" s="3" t="s">
        <v>680</v>
      </c>
      <c r="R62" s="3" t="s">
        <v>680</v>
      </c>
      <c r="S62" s="2" t="s">
        <v>38</v>
      </c>
      <c r="T62" s="2" t="s">
        <v>39</v>
      </c>
      <c r="U62" s="2" t="s">
        <v>40</v>
      </c>
      <c r="V62" s="3"/>
    </row>
    <row r="63" spans="1:22">
      <c r="A63" s="2">
        <v>62</v>
      </c>
      <c r="B63" s="3" t="s">
        <v>567</v>
      </c>
      <c r="C63" s="3" t="s">
        <v>681</v>
      </c>
      <c r="D63" s="3" t="s">
        <v>682</v>
      </c>
      <c r="E63" s="2" t="s">
        <v>69</v>
      </c>
      <c r="F63" s="2" t="s">
        <v>26</v>
      </c>
      <c r="G63" s="3" t="s">
        <v>683</v>
      </c>
      <c r="H63" s="2" t="s">
        <v>684</v>
      </c>
      <c r="I63" s="3" t="s">
        <v>29</v>
      </c>
      <c r="J63" s="3" t="s">
        <v>685</v>
      </c>
      <c r="K63" s="3" t="s">
        <v>47</v>
      </c>
      <c r="L63" s="3" t="s">
        <v>323</v>
      </c>
      <c r="M63" s="3" t="s">
        <v>686</v>
      </c>
      <c r="N63" s="3" t="s">
        <v>687</v>
      </c>
      <c r="O63" s="3" t="s">
        <v>688</v>
      </c>
      <c r="P63" s="3" t="s">
        <v>689</v>
      </c>
      <c r="Q63" s="3" t="s">
        <v>690</v>
      </c>
      <c r="R63" s="3" t="s">
        <v>690</v>
      </c>
      <c r="S63" s="2" t="s">
        <v>38</v>
      </c>
      <c r="T63" s="2" t="s">
        <v>39</v>
      </c>
      <c r="U63" s="2" t="s">
        <v>40</v>
      </c>
      <c r="V63" s="3"/>
    </row>
    <row r="64" spans="1:22">
      <c r="A64" s="2">
        <v>63</v>
      </c>
      <c r="B64" s="3" t="s">
        <v>567</v>
      </c>
      <c r="C64" s="3" t="s">
        <v>691</v>
      </c>
      <c r="D64" s="3" t="s">
        <v>692</v>
      </c>
      <c r="E64" s="2" t="s">
        <v>537</v>
      </c>
      <c r="F64" s="2" t="s">
        <v>43</v>
      </c>
      <c r="G64" s="3" t="s">
        <v>693</v>
      </c>
      <c r="H64" s="2" t="s">
        <v>694</v>
      </c>
      <c r="I64" s="3" t="s">
        <v>29</v>
      </c>
      <c r="J64" s="3" t="s">
        <v>695</v>
      </c>
      <c r="K64" s="3" t="s">
        <v>47</v>
      </c>
      <c r="L64" s="3" t="s">
        <v>48</v>
      </c>
      <c r="M64" s="3" t="s">
        <v>696</v>
      </c>
      <c r="N64" s="3" t="s">
        <v>697</v>
      </c>
      <c r="O64" s="3" t="s">
        <v>698</v>
      </c>
      <c r="P64" s="3" t="s">
        <v>699</v>
      </c>
      <c r="Q64" s="3" t="s">
        <v>700</v>
      </c>
      <c r="R64" s="3" t="s">
        <v>700</v>
      </c>
      <c r="S64" s="2" t="s">
        <v>38</v>
      </c>
      <c r="T64" s="2" t="s">
        <v>39</v>
      </c>
      <c r="U64" s="2" t="s">
        <v>40</v>
      </c>
      <c r="V64" s="3"/>
    </row>
    <row r="65" spans="1:22">
      <c r="A65" s="2">
        <v>64</v>
      </c>
      <c r="B65" s="3" t="s">
        <v>567</v>
      </c>
      <c r="C65" s="3" t="s">
        <v>701</v>
      </c>
      <c r="D65" s="3" t="s">
        <v>702</v>
      </c>
      <c r="E65" s="2" t="s">
        <v>621</v>
      </c>
      <c r="F65" s="2" t="s">
        <v>43</v>
      </c>
      <c r="G65" s="3" t="s">
        <v>703</v>
      </c>
      <c r="H65" s="2" t="s">
        <v>704</v>
      </c>
      <c r="I65" s="3" t="s">
        <v>29</v>
      </c>
      <c r="J65" s="3" t="s">
        <v>705</v>
      </c>
      <c r="K65" s="3" t="s">
        <v>272</v>
      </c>
      <c r="L65" s="3" t="s">
        <v>323</v>
      </c>
      <c r="M65" s="3" t="s">
        <v>706</v>
      </c>
      <c r="N65" s="3" t="s">
        <v>707</v>
      </c>
      <c r="O65" s="3" t="s">
        <v>708</v>
      </c>
      <c r="P65" s="3" t="s">
        <v>709</v>
      </c>
      <c r="Q65" s="3" t="s">
        <v>710</v>
      </c>
      <c r="R65" s="3" t="s">
        <v>710</v>
      </c>
      <c r="S65" s="2" t="s">
        <v>38</v>
      </c>
      <c r="T65" s="2" t="s">
        <v>39</v>
      </c>
      <c r="U65" s="2" t="s">
        <v>40</v>
      </c>
      <c r="V65" s="3"/>
    </row>
    <row r="66" spans="1:22">
      <c r="A66" s="2">
        <v>65</v>
      </c>
      <c r="B66" s="3" t="s">
        <v>567</v>
      </c>
      <c r="C66" s="3" t="s">
        <v>711</v>
      </c>
      <c r="D66" s="3" t="s">
        <v>712</v>
      </c>
      <c r="E66" s="2" t="s">
        <v>351</v>
      </c>
      <c r="F66" s="2" t="s">
        <v>26</v>
      </c>
      <c r="G66" s="3" t="s">
        <v>713</v>
      </c>
      <c r="H66" s="2" t="s">
        <v>714</v>
      </c>
      <c r="I66" s="3" t="s">
        <v>29</v>
      </c>
      <c r="J66" s="3" t="s">
        <v>715</v>
      </c>
      <c r="K66" s="3" t="s">
        <v>120</v>
      </c>
      <c r="L66" s="3" t="s">
        <v>32</v>
      </c>
      <c r="M66" s="3" t="s">
        <v>716</v>
      </c>
      <c r="N66" s="3" t="s">
        <v>717</v>
      </c>
      <c r="O66" s="3" t="s">
        <v>718</v>
      </c>
      <c r="P66" s="3" t="s">
        <v>719</v>
      </c>
      <c r="Q66" s="3" t="s">
        <v>720</v>
      </c>
      <c r="R66" s="3" t="s">
        <v>720</v>
      </c>
      <c r="S66" s="2" t="s">
        <v>38</v>
      </c>
      <c r="T66" s="2" t="s">
        <v>39</v>
      </c>
      <c r="U66" s="2" t="s">
        <v>40</v>
      </c>
      <c r="V66" s="3"/>
    </row>
    <row r="67" spans="1:22">
      <c r="A67" s="2">
        <v>66</v>
      </c>
      <c r="B67" s="3" t="s">
        <v>567</v>
      </c>
      <c r="C67" s="3" t="s">
        <v>721</v>
      </c>
      <c r="D67" s="3" t="s">
        <v>722</v>
      </c>
      <c r="E67" s="2" t="s">
        <v>103</v>
      </c>
      <c r="F67" s="2" t="s">
        <v>26</v>
      </c>
      <c r="G67" s="3" t="s">
        <v>723</v>
      </c>
      <c r="H67" s="2" t="s">
        <v>724</v>
      </c>
      <c r="I67" s="3" t="s">
        <v>29</v>
      </c>
      <c r="J67" s="3" t="s">
        <v>725</v>
      </c>
      <c r="K67" s="3" t="s">
        <v>47</v>
      </c>
      <c r="L67" s="3" t="s">
        <v>323</v>
      </c>
      <c r="M67" s="3" t="s">
        <v>726</v>
      </c>
      <c r="N67" s="3" t="s">
        <v>727</v>
      </c>
      <c r="O67" s="3" t="s">
        <v>728</v>
      </c>
      <c r="P67" s="3" t="s">
        <v>729</v>
      </c>
      <c r="Q67" s="3" t="s">
        <v>730</v>
      </c>
      <c r="R67" s="3" t="s">
        <v>730</v>
      </c>
      <c r="S67" s="2" t="s">
        <v>38</v>
      </c>
      <c r="T67" s="2" t="s">
        <v>39</v>
      </c>
      <c r="U67" s="2" t="s">
        <v>40</v>
      </c>
      <c r="V67" s="3"/>
    </row>
    <row r="68" spans="1:22">
      <c r="A68" s="2">
        <v>67</v>
      </c>
      <c r="B68" s="3" t="s">
        <v>567</v>
      </c>
      <c r="C68" s="3" t="s">
        <v>731</v>
      </c>
      <c r="D68" s="3" t="s">
        <v>732</v>
      </c>
      <c r="E68" s="2" t="s">
        <v>206</v>
      </c>
      <c r="F68" s="2" t="s">
        <v>26</v>
      </c>
      <c r="G68" s="3" t="s">
        <v>733</v>
      </c>
      <c r="H68" s="2" t="s">
        <v>734</v>
      </c>
      <c r="I68" s="3" t="s">
        <v>29</v>
      </c>
      <c r="J68" s="3" t="s">
        <v>735</v>
      </c>
      <c r="K68" s="3" t="s">
        <v>47</v>
      </c>
      <c r="L68" s="3" t="s">
        <v>323</v>
      </c>
      <c r="M68" s="3" t="s">
        <v>736</v>
      </c>
      <c r="N68" s="3" t="s">
        <v>737</v>
      </c>
      <c r="O68" s="3" t="s">
        <v>738</v>
      </c>
      <c r="P68" s="3" t="s">
        <v>739</v>
      </c>
      <c r="Q68" s="3" t="s">
        <v>740</v>
      </c>
      <c r="R68" s="3" t="s">
        <v>740</v>
      </c>
      <c r="S68" s="2" t="s">
        <v>38</v>
      </c>
      <c r="T68" s="2" t="s">
        <v>39</v>
      </c>
      <c r="U68" s="2" t="s">
        <v>40</v>
      </c>
      <c r="V68" s="3"/>
    </row>
    <row r="69" spans="1:22">
      <c r="A69" s="2">
        <v>68</v>
      </c>
      <c r="B69" s="3" t="s">
        <v>567</v>
      </c>
      <c r="C69" s="3" t="s">
        <v>741</v>
      </c>
      <c r="D69" s="3" t="s">
        <v>742</v>
      </c>
      <c r="E69" s="2" t="s">
        <v>185</v>
      </c>
      <c r="F69" s="2" t="s">
        <v>43</v>
      </c>
      <c r="G69" s="3" t="s">
        <v>743</v>
      </c>
      <c r="H69" s="2" t="s">
        <v>744</v>
      </c>
      <c r="I69" s="3" t="s">
        <v>29</v>
      </c>
      <c r="J69" s="3" t="s">
        <v>745</v>
      </c>
      <c r="K69" s="3" t="s">
        <v>272</v>
      </c>
      <c r="L69" s="3" t="s">
        <v>323</v>
      </c>
      <c r="M69" s="3" t="s">
        <v>746</v>
      </c>
      <c r="N69" s="3" t="s">
        <v>747</v>
      </c>
      <c r="O69" s="3" t="s">
        <v>748</v>
      </c>
      <c r="P69" s="3" t="s">
        <v>749</v>
      </c>
      <c r="Q69" s="3" t="s">
        <v>750</v>
      </c>
      <c r="R69" s="3" t="s">
        <v>750</v>
      </c>
      <c r="S69" s="2" t="s">
        <v>38</v>
      </c>
      <c r="T69" s="2" t="s">
        <v>39</v>
      </c>
      <c r="U69" s="2" t="s">
        <v>40</v>
      </c>
      <c r="V69" s="3"/>
    </row>
    <row r="70" spans="1:22">
      <c r="A70" s="2">
        <v>69</v>
      </c>
      <c r="B70" s="3" t="s">
        <v>567</v>
      </c>
      <c r="C70" s="3" t="s">
        <v>751</v>
      </c>
      <c r="D70" s="3" t="s">
        <v>752</v>
      </c>
      <c r="E70" s="2" t="s">
        <v>128</v>
      </c>
      <c r="F70" s="2" t="s">
        <v>43</v>
      </c>
      <c r="G70" s="3" t="s">
        <v>753</v>
      </c>
      <c r="H70" s="2" t="s">
        <v>754</v>
      </c>
      <c r="I70" s="3" t="s">
        <v>29</v>
      </c>
      <c r="J70" s="3" t="s">
        <v>755</v>
      </c>
      <c r="K70" s="3" t="s">
        <v>272</v>
      </c>
      <c r="L70" s="3" t="s">
        <v>167</v>
      </c>
      <c r="M70" s="3" t="s">
        <v>756</v>
      </c>
      <c r="N70" s="3" t="s">
        <v>757</v>
      </c>
      <c r="O70" s="3" t="s">
        <v>758</v>
      </c>
      <c r="P70" s="3" t="s">
        <v>759</v>
      </c>
      <c r="Q70" s="3" t="s">
        <v>760</v>
      </c>
      <c r="R70" s="3" t="s">
        <v>760</v>
      </c>
      <c r="S70" s="2" t="s">
        <v>38</v>
      </c>
      <c r="T70" s="2" t="s">
        <v>39</v>
      </c>
      <c r="U70" s="2" t="s">
        <v>40</v>
      </c>
      <c r="V70" s="3"/>
    </row>
    <row r="71" spans="1:22">
      <c r="A71" s="2">
        <v>70</v>
      </c>
      <c r="B71" s="3" t="s">
        <v>567</v>
      </c>
      <c r="C71" s="3" t="s">
        <v>761</v>
      </c>
      <c r="D71" s="3" t="s">
        <v>762</v>
      </c>
      <c r="E71" s="2" t="s">
        <v>621</v>
      </c>
      <c r="F71" s="2" t="s">
        <v>26</v>
      </c>
      <c r="G71" s="3" t="s">
        <v>763</v>
      </c>
      <c r="H71" s="2" t="s">
        <v>764</v>
      </c>
      <c r="I71" s="3" t="s">
        <v>29</v>
      </c>
      <c r="J71" s="3" t="s">
        <v>765</v>
      </c>
      <c r="K71" s="3" t="s">
        <v>47</v>
      </c>
      <c r="L71" s="3" t="s">
        <v>167</v>
      </c>
      <c r="M71" s="3" t="s">
        <v>766</v>
      </c>
      <c r="N71" s="3" t="s">
        <v>767</v>
      </c>
      <c r="O71" s="3" t="s">
        <v>768</v>
      </c>
      <c r="P71" s="3" t="s">
        <v>769</v>
      </c>
      <c r="Q71" s="3" t="s">
        <v>770</v>
      </c>
      <c r="R71" s="3" t="s">
        <v>770</v>
      </c>
      <c r="S71" s="2" t="s">
        <v>38</v>
      </c>
      <c r="T71" s="2" t="s">
        <v>39</v>
      </c>
      <c r="U71" s="2" t="s">
        <v>40</v>
      </c>
      <c r="V71" s="3"/>
    </row>
    <row r="72" spans="1:22">
      <c r="A72" s="2">
        <v>71</v>
      </c>
      <c r="B72" s="3" t="s">
        <v>567</v>
      </c>
      <c r="C72" s="3" t="s">
        <v>771</v>
      </c>
      <c r="D72" s="3" t="s">
        <v>772</v>
      </c>
      <c r="E72" s="2" t="s">
        <v>773</v>
      </c>
      <c r="F72" s="2" t="s">
        <v>26</v>
      </c>
      <c r="G72" s="3" t="s">
        <v>774</v>
      </c>
      <c r="H72" s="2" t="s">
        <v>775</v>
      </c>
      <c r="I72" s="3" t="s">
        <v>29</v>
      </c>
      <c r="J72" s="3" t="s">
        <v>776</v>
      </c>
      <c r="K72" s="3" t="s">
        <v>95</v>
      </c>
      <c r="L72" s="3" t="s">
        <v>323</v>
      </c>
      <c r="M72" s="3" t="s">
        <v>777</v>
      </c>
      <c r="N72" s="3" t="s">
        <v>778</v>
      </c>
      <c r="O72" s="3" t="s">
        <v>779</v>
      </c>
      <c r="P72" s="3" t="s">
        <v>780</v>
      </c>
      <c r="Q72" s="3" t="s">
        <v>781</v>
      </c>
      <c r="R72" s="3" t="s">
        <v>781</v>
      </c>
      <c r="S72" s="2" t="s">
        <v>38</v>
      </c>
      <c r="T72" s="2" t="s">
        <v>39</v>
      </c>
      <c r="U72" s="2" t="s">
        <v>40</v>
      </c>
      <c r="V72" s="3"/>
    </row>
    <row r="73" spans="1:22">
      <c r="A73" s="2">
        <v>72</v>
      </c>
      <c r="B73" s="3" t="s">
        <v>567</v>
      </c>
      <c r="C73" s="3" t="s">
        <v>782</v>
      </c>
      <c r="D73" s="3" t="s">
        <v>783</v>
      </c>
      <c r="E73" s="2" t="s">
        <v>185</v>
      </c>
      <c r="F73" s="2" t="s">
        <v>43</v>
      </c>
      <c r="G73" s="3" t="s">
        <v>784</v>
      </c>
      <c r="H73" s="2" t="s">
        <v>785</v>
      </c>
      <c r="I73" s="3" t="s">
        <v>29</v>
      </c>
      <c r="J73" s="3" t="s">
        <v>786</v>
      </c>
      <c r="K73" s="3" t="s">
        <v>272</v>
      </c>
      <c r="L73" s="3" t="s">
        <v>156</v>
      </c>
      <c r="M73" s="3" t="s">
        <v>787</v>
      </c>
      <c r="N73" s="3" t="s">
        <v>788</v>
      </c>
      <c r="O73" s="3" t="s">
        <v>789</v>
      </c>
      <c r="P73" s="3" t="s">
        <v>790</v>
      </c>
      <c r="Q73" s="3" t="s">
        <v>791</v>
      </c>
      <c r="R73" s="3" t="s">
        <v>791</v>
      </c>
      <c r="S73" s="2" t="s">
        <v>38</v>
      </c>
      <c r="T73" s="2" t="s">
        <v>39</v>
      </c>
      <c r="U73" s="2" t="s">
        <v>40</v>
      </c>
      <c r="V73" s="3"/>
    </row>
    <row r="74" spans="1:22">
      <c r="A74" s="2">
        <v>73</v>
      </c>
      <c r="B74" s="3" t="s">
        <v>567</v>
      </c>
      <c r="C74" s="3" t="s">
        <v>792</v>
      </c>
      <c r="D74" s="3" t="s">
        <v>793</v>
      </c>
      <c r="E74" s="2" t="s">
        <v>81</v>
      </c>
      <c r="F74" s="2" t="s">
        <v>43</v>
      </c>
      <c r="G74" s="3" t="s">
        <v>794</v>
      </c>
      <c r="H74" s="2" t="s">
        <v>795</v>
      </c>
      <c r="I74" s="3" t="s">
        <v>29</v>
      </c>
      <c r="J74" s="3" t="s">
        <v>796</v>
      </c>
      <c r="K74" s="3" t="s">
        <v>47</v>
      </c>
      <c r="L74" s="3" t="s">
        <v>132</v>
      </c>
      <c r="M74" s="3" t="s">
        <v>797</v>
      </c>
      <c r="N74" s="3" t="s">
        <v>798</v>
      </c>
      <c r="O74" s="3" t="s">
        <v>799</v>
      </c>
      <c r="P74" s="3" t="s">
        <v>800</v>
      </c>
      <c r="Q74" s="3" t="s">
        <v>801</v>
      </c>
      <c r="R74" s="3" t="s">
        <v>801</v>
      </c>
      <c r="S74" s="2" t="s">
        <v>38</v>
      </c>
      <c r="T74" s="2" t="s">
        <v>39</v>
      </c>
      <c r="U74" s="2" t="s">
        <v>40</v>
      </c>
      <c r="V74" s="3"/>
    </row>
    <row r="75" spans="1:22">
      <c r="A75" s="2">
        <v>74</v>
      </c>
      <c r="B75" s="3" t="s">
        <v>567</v>
      </c>
      <c r="C75" s="3" t="s">
        <v>802</v>
      </c>
      <c r="D75" s="3" t="s">
        <v>803</v>
      </c>
      <c r="E75" s="2" t="s">
        <v>773</v>
      </c>
      <c r="F75" s="2" t="s">
        <v>26</v>
      </c>
      <c r="G75" s="3" t="s">
        <v>804</v>
      </c>
      <c r="H75" s="2" t="s">
        <v>805</v>
      </c>
      <c r="I75" s="3" t="s">
        <v>29</v>
      </c>
      <c r="J75" s="3" t="s">
        <v>806</v>
      </c>
      <c r="K75" s="3" t="s">
        <v>47</v>
      </c>
      <c r="L75" s="3" t="s">
        <v>167</v>
      </c>
      <c r="M75" s="3" t="s">
        <v>807</v>
      </c>
      <c r="N75" s="3" t="s">
        <v>808</v>
      </c>
      <c r="O75" s="3" t="s">
        <v>809</v>
      </c>
      <c r="P75" s="3" t="s">
        <v>810</v>
      </c>
      <c r="Q75" s="3" t="s">
        <v>811</v>
      </c>
      <c r="R75" s="3" t="s">
        <v>811</v>
      </c>
      <c r="S75" s="2" t="s">
        <v>38</v>
      </c>
      <c r="T75" s="2" t="s">
        <v>39</v>
      </c>
      <c r="U75" s="2" t="s">
        <v>40</v>
      </c>
      <c r="V75" s="3"/>
    </row>
    <row r="76" spans="1:22">
      <c r="A76" s="2">
        <v>75</v>
      </c>
      <c r="B76" s="3" t="s">
        <v>567</v>
      </c>
      <c r="C76" s="3" t="s">
        <v>812</v>
      </c>
      <c r="D76" s="3" t="s">
        <v>813</v>
      </c>
      <c r="E76" s="2" t="s">
        <v>621</v>
      </c>
      <c r="F76" s="2" t="s">
        <v>26</v>
      </c>
      <c r="G76" s="3" t="s">
        <v>814</v>
      </c>
      <c r="H76" s="2" t="s">
        <v>815</v>
      </c>
      <c r="I76" s="3" t="s">
        <v>29</v>
      </c>
      <c r="J76" s="3" t="s">
        <v>816</v>
      </c>
      <c r="K76" s="3" t="s">
        <v>47</v>
      </c>
      <c r="L76" s="3" t="s">
        <v>323</v>
      </c>
      <c r="M76" s="3" t="s">
        <v>817</v>
      </c>
      <c r="N76" s="3" t="s">
        <v>818</v>
      </c>
      <c r="O76" s="3" t="s">
        <v>819</v>
      </c>
      <c r="P76" s="3" t="s">
        <v>820</v>
      </c>
      <c r="Q76" s="3" t="s">
        <v>821</v>
      </c>
      <c r="R76" s="3" t="s">
        <v>821</v>
      </c>
      <c r="S76" s="2" t="s">
        <v>38</v>
      </c>
      <c r="T76" s="2" t="s">
        <v>39</v>
      </c>
      <c r="U76" s="2" t="s">
        <v>40</v>
      </c>
      <c r="V76" s="3"/>
    </row>
    <row r="77" spans="1:22">
      <c r="A77" s="2">
        <v>76</v>
      </c>
      <c r="B77" s="3" t="s">
        <v>567</v>
      </c>
      <c r="C77" s="3" t="s">
        <v>822</v>
      </c>
      <c r="D77" s="3" t="s">
        <v>823</v>
      </c>
      <c r="E77" s="2" t="s">
        <v>25</v>
      </c>
      <c r="F77" s="2" t="s">
        <v>26</v>
      </c>
      <c r="G77" s="3" t="s">
        <v>824</v>
      </c>
      <c r="H77" s="2" t="s">
        <v>825</v>
      </c>
      <c r="I77" s="3" t="s">
        <v>29</v>
      </c>
      <c r="J77" s="3" t="s">
        <v>826</v>
      </c>
      <c r="K77" s="3" t="s">
        <v>47</v>
      </c>
      <c r="L77" s="3" t="s">
        <v>132</v>
      </c>
      <c r="M77" s="3" t="s">
        <v>827</v>
      </c>
      <c r="N77" s="3" t="s">
        <v>828</v>
      </c>
      <c r="O77" s="3" t="s">
        <v>829</v>
      </c>
      <c r="P77" s="3" t="s">
        <v>830</v>
      </c>
      <c r="Q77" s="3" t="s">
        <v>831</v>
      </c>
      <c r="R77" s="3" t="s">
        <v>831</v>
      </c>
      <c r="S77" s="2" t="s">
        <v>38</v>
      </c>
      <c r="T77" s="2" t="s">
        <v>39</v>
      </c>
      <c r="U77" s="2" t="s">
        <v>40</v>
      </c>
      <c r="V77" s="3"/>
    </row>
    <row r="78" spans="1:22">
      <c r="A78" s="2">
        <v>77</v>
      </c>
      <c r="B78" s="3" t="s">
        <v>567</v>
      </c>
      <c r="C78" s="3" t="s">
        <v>832</v>
      </c>
      <c r="D78" s="3" t="s">
        <v>833</v>
      </c>
      <c r="E78" s="2" t="s">
        <v>642</v>
      </c>
      <c r="F78" s="2" t="s">
        <v>26</v>
      </c>
      <c r="G78" s="3" t="s">
        <v>834</v>
      </c>
      <c r="H78" s="2" t="s">
        <v>835</v>
      </c>
      <c r="I78" s="3" t="s">
        <v>29</v>
      </c>
      <c r="J78" s="3" t="s">
        <v>624</v>
      </c>
      <c r="K78" s="3" t="s">
        <v>47</v>
      </c>
      <c r="L78" s="3" t="s">
        <v>323</v>
      </c>
      <c r="M78" s="3" t="s">
        <v>836</v>
      </c>
      <c r="N78" s="3" t="s">
        <v>837</v>
      </c>
      <c r="O78" s="3" t="s">
        <v>838</v>
      </c>
      <c r="P78" s="3" t="s">
        <v>839</v>
      </c>
      <c r="Q78" s="3" t="s">
        <v>840</v>
      </c>
      <c r="R78" s="3" t="s">
        <v>840</v>
      </c>
      <c r="S78" s="2" t="s">
        <v>38</v>
      </c>
      <c r="T78" s="2" t="s">
        <v>39</v>
      </c>
      <c r="U78" s="2" t="s">
        <v>40</v>
      </c>
      <c r="V78" s="3"/>
    </row>
    <row r="79" spans="1:22">
      <c r="A79" s="2">
        <v>78</v>
      </c>
      <c r="B79" s="3" t="s">
        <v>567</v>
      </c>
      <c r="C79" s="3" t="s">
        <v>841</v>
      </c>
      <c r="D79" s="3" t="s">
        <v>842</v>
      </c>
      <c r="E79" s="2" t="s">
        <v>621</v>
      </c>
      <c r="F79" s="2" t="s">
        <v>43</v>
      </c>
      <c r="G79" s="3" t="s">
        <v>843</v>
      </c>
      <c r="H79" s="2" t="s">
        <v>844</v>
      </c>
      <c r="I79" s="3" t="s">
        <v>29</v>
      </c>
      <c r="J79" s="3" t="s">
        <v>845</v>
      </c>
      <c r="K79" s="3" t="s">
        <v>31</v>
      </c>
      <c r="L79" s="3" t="s">
        <v>167</v>
      </c>
      <c r="M79" s="3" t="s">
        <v>846</v>
      </c>
      <c r="N79" s="3" t="s">
        <v>847</v>
      </c>
      <c r="O79" s="3" t="s">
        <v>848</v>
      </c>
      <c r="P79" s="3" t="s">
        <v>849</v>
      </c>
      <c r="Q79" s="3" t="s">
        <v>850</v>
      </c>
      <c r="R79" s="3" t="s">
        <v>850</v>
      </c>
      <c r="S79" s="2" t="s">
        <v>38</v>
      </c>
      <c r="T79" s="2" t="s">
        <v>39</v>
      </c>
      <c r="U79" s="2" t="s">
        <v>40</v>
      </c>
      <c r="V79" s="3"/>
    </row>
    <row r="80" spans="1:22">
      <c r="A80" s="2">
        <v>79</v>
      </c>
      <c r="B80" s="3" t="s">
        <v>567</v>
      </c>
      <c r="C80" s="3" t="s">
        <v>851</v>
      </c>
      <c r="D80" s="3" t="s">
        <v>852</v>
      </c>
      <c r="E80" s="2" t="s">
        <v>383</v>
      </c>
      <c r="F80" s="2" t="s">
        <v>26</v>
      </c>
      <c r="G80" s="3" t="s">
        <v>853</v>
      </c>
      <c r="H80" s="2" t="s">
        <v>854</v>
      </c>
      <c r="I80" s="3" t="s">
        <v>29</v>
      </c>
      <c r="J80" s="3" t="s">
        <v>855</v>
      </c>
      <c r="K80" s="3" t="s">
        <v>47</v>
      </c>
      <c r="L80" s="3" t="s">
        <v>132</v>
      </c>
      <c r="M80" s="3" t="s">
        <v>856</v>
      </c>
      <c r="N80" s="3" t="s">
        <v>857</v>
      </c>
      <c r="O80" s="3" t="s">
        <v>858</v>
      </c>
      <c r="P80" s="3" t="s">
        <v>859</v>
      </c>
      <c r="Q80" s="3" t="s">
        <v>860</v>
      </c>
      <c r="R80" s="3" t="s">
        <v>860</v>
      </c>
      <c r="S80" s="2" t="s">
        <v>38</v>
      </c>
      <c r="T80" s="2" t="s">
        <v>39</v>
      </c>
      <c r="U80" s="2" t="s">
        <v>40</v>
      </c>
      <c r="V80" s="3"/>
    </row>
    <row r="81" spans="1:22">
      <c r="A81" s="2">
        <v>80</v>
      </c>
      <c r="B81" s="3" t="s">
        <v>567</v>
      </c>
      <c r="C81" s="3" t="s">
        <v>861</v>
      </c>
      <c r="D81" s="3" t="s">
        <v>862</v>
      </c>
      <c r="E81" s="2" t="s">
        <v>506</v>
      </c>
      <c r="F81" s="2" t="s">
        <v>26</v>
      </c>
      <c r="G81" s="3" t="s">
        <v>863</v>
      </c>
      <c r="H81" s="2" t="s">
        <v>864</v>
      </c>
      <c r="I81" s="3" t="s">
        <v>29</v>
      </c>
      <c r="J81" s="3" t="s">
        <v>865</v>
      </c>
      <c r="K81" s="3" t="s">
        <v>47</v>
      </c>
      <c r="L81" s="3" t="s">
        <v>132</v>
      </c>
      <c r="M81" s="3" t="s">
        <v>866</v>
      </c>
      <c r="N81" s="3" t="s">
        <v>867</v>
      </c>
      <c r="O81" s="3" t="s">
        <v>868</v>
      </c>
      <c r="P81" s="3" t="s">
        <v>869</v>
      </c>
      <c r="Q81" s="3" t="s">
        <v>870</v>
      </c>
      <c r="R81" s="3" t="s">
        <v>870</v>
      </c>
      <c r="S81" s="2" t="s">
        <v>38</v>
      </c>
      <c r="T81" s="2" t="s">
        <v>39</v>
      </c>
      <c r="U81" s="2" t="s">
        <v>40</v>
      </c>
      <c r="V81" s="3"/>
    </row>
    <row r="82" spans="1:22">
      <c r="A82" s="2">
        <v>81</v>
      </c>
      <c r="B82" s="3" t="s">
        <v>567</v>
      </c>
      <c r="C82" s="3" t="s">
        <v>871</v>
      </c>
      <c r="D82" s="3" t="s">
        <v>872</v>
      </c>
      <c r="E82" s="2" t="s">
        <v>404</v>
      </c>
      <c r="F82" s="2" t="s">
        <v>26</v>
      </c>
      <c r="G82" s="3" t="s">
        <v>873</v>
      </c>
      <c r="H82" s="2" t="s">
        <v>874</v>
      </c>
      <c r="I82" s="3" t="s">
        <v>29</v>
      </c>
      <c r="J82" s="3" t="s">
        <v>875</v>
      </c>
      <c r="K82" s="3" t="s">
        <v>47</v>
      </c>
      <c r="L82" s="3" t="s">
        <v>132</v>
      </c>
      <c r="M82" s="3" t="s">
        <v>876</v>
      </c>
      <c r="N82" s="3" t="s">
        <v>877</v>
      </c>
      <c r="O82" s="3" t="s">
        <v>878</v>
      </c>
      <c r="P82" s="3" t="s">
        <v>879</v>
      </c>
      <c r="Q82" s="3" t="s">
        <v>880</v>
      </c>
      <c r="R82" s="3" t="s">
        <v>880</v>
      </c>
      <c r="S82" s="2" t="s">
        <v>38</v>
      </c>
      <c r="T82" s="2" t="s">
        <v>39</v>
      </c>
      <c r="U82" s="2" t="s">
        <v>40</v>
      </c>
      <c r="V82" s="3"/>
    </row>
    <row r="83" spans="1:22">
      <c r="A83" s="2">
        <v>82</v>
      </c>
      <c r="B83" s="3" t="s">
        <v>567</v>
      </c>
      <c r="C83" s="3" t="s">
        <v>881</v>
      </c>
      <c r="D83" s="3" t="s">
        <v>882</v>
      </c>
      <c r="E83" s="2" t="s">
        <v>103</v>
      </c>
      <c r="F83" s="2" t="s">
        <v>43</v>
      </c>
      <c r="G83" s="3" t="s">
        <v>883</v>
      </c>
      <c r="H83" s="2" t="s">
        <v>884</v>
      </c>
      <c r="I83" s="3" t="s">
        <v>29</v>
      </c>
      <c r="J83" s="3" t="s">
        <v>885</v>
      </c>
      <c r="K83" s="3" t="s">
        <v>47</v>
      </c>
      <c r="L83" s="3" t="s">
        <v>32</v>
      </c>
      <c r="M83" s="3" t="s">
        <v>886</v>
      </c>
      <c r="N83" s="3" t="s">
        <v>887</v>
      </c>
      <c r="O83" s="3" t="s">
        <v>888</v>
      </c>
      <c r="P83" s="3" t="s">
        <v>889</v>
      </c>
      <c r="Q83" s="3" t="s">
        <v>890</v>
      </c>
      <c r="R83" s="3" t="s">
        <v>890</v>
      </c>
      <c r="S83" s="2" t="s">
        <v>38</v>
      </c>
      <c r="T83" s="2" t="s">
        <v>39</v>
      </c>
      <c r="U83" s="2" t="s">
        <v>40</v>
      </c>
      <c r="V83" s="3"/>
    </row>
    <row r="84" spans="1:22">
      <c r="A84" s="2">
        <v>83</v>
      </c>
      <c r="B84" s="3" t="s">
        <v>567</v>
      </c>
      <c r="C84" s="3" t="s">
        <v>891</v>
      </c>
      <c r="D84" s="3" t="s">
        <v>892</v>
      </c>
      <c r="E84" s="2" t="s">
        <v>69</v>
      </c>
      <c r="F84" s="2" t="s">
        <v>43</v>
      </c>
      <c r="G84" s="3" t="s">
        <v>893</v>
      </c>
      <c r="H84" s="2" t="s">
        <v>894</v>
      </c>
      <c r="I84" s="3" t="s">
        <v>29</v>
      </c>
      <c r="J84" s="3" t="s">
        <v>895</v>
      </c>
      <c r="K84" s="3" t="s">
        <v>47</v>
      </c>
      <c r="L84" s="3" t="s">
        <v>145</v>
      </c>
      <c r="M84" s="3" t="s">
        <v>896</v>
      </c>
      <c r="N84" s="3" t="s">
        <v>897</v>
      </c>
      <c r="O84" s="3" t="s">
        <v>898</v>
      </c>
      <c r="P84" s="3" t="s">
        <v>899</v>
      </c>
      <c r="Q84" s="3" t="s">
        <v>900</v>
      </c>
      <c r="R84" s="3" t="s">
        <v>900</v>
      </c>
      <c r="S84" s="2" t="s">
        <v>38</v>
      </c>
      <c r="T84" s="2" t="s">
        <v>39</v>
      </c>
      <c r="U84" s="2" t="s">
        <v>40</v>
      </c>
      <c r="V84" s="3"/>
    </row>
    <row r="85" spans="1:22">
      <c r="A85" s="2">
        <v>84</v>
      </c>
      <c r="B85" s="3" t="s">
        <v>567</v>
      </c>
      <c r="C85" s="3" t="s">
        <v>901</v>
      </c>
      <c r="D85" s="3" t="s">
        <v>902</v>
      </c>
      <c r="E85" s="2" t="s">
        <v>140</v>
      </c>
      <c r="F85" s="2" t="s">
        <v>26</v>
      </c>
      <c r="G85" s="3" t="s">
        <v>903</v>
      </c>
      <c r="H85" s="2" t="s">
        <v>904</v>
      </c>
      <c r="I85" s="3" t="s">
        <v>29</v>
      </c>
      <c r="J85" s="3" t="s">
        <v>905</v>
      </c>
      <c r="K85" s="3" t="s">
        <v>47</v>
      </c>
      <c r="L85" s="3" t="s">
        <v>132</v>
      </c>
      <c r="M85" s="3" t="s">
        <v>906</v>
      </c>
      <c r="N85" s="3" t="s">
        <v>907</v>
      </c>
      <c r="O85" s="3" t="s">
        <v>908</v>
      </c>
      <c r="P85" s="3" t="s">
        <v>909</v>
      </c>
      <c r="Q85" s="3" t="s">
        <v>910</v>
      </c>
      <c r="R85" s="3" t="s">
        <v>910</v>
      </c>
      <c r="S85" s="2" t="s">
        <v>38</v>
      </c>
      <c r="T85" s="2" t="s">
        <v>39</v>
      </c>
      <c r="U85" s="2" t="s">
        <v>40</v>
      </c>
      <c r="V85" s="3"/>
    </row>
    <row r="86" spans="1:22">
      <c r="A86" s="2">
        <v>85</v>
      </c>
      <c r="B86" s="3" t="s">
        <v>567</v>
      </c>
      <c r="C86" s="3" t="s">
        <v>911</v>
      </c>
      <c r="D86" s="3" t="s">
        <v>912</v>
      </c>
      <c r="E86" s="2" t="s">
        <v>913</v>
      </c>
      <c r="F86" s="2" t="s">
        <v>26</v>
      </c>
      <c r="G86" s="3" t="s">
        <v>914</v>
      </c>
      <c r="H86" s="2" t="s">
        <v>915</v>
      </c>
      <c r="I86" s="3" t="s">
        <v>29</v>
      </c>
      <c r="J86" s="3" t="s">
        <v>219</v>
      </c>
      <c r="K86" s="3" t="s">
        <v>47</v>
      </c>
      <c r="L86" s="3" t="s">
        <v>293</v>
      </c>
      <c r="M86" s="3" t="s">
        <v>916</v>
      </c>
      <c r="N86" s="3" t="s">
        <v>917</v>
      </c>
      <c r="O86" s="3" t="s">
        <v>918</v>
      </c>
      <c r="P86" s="3" t="s">
        <v>919</v>
      </c>
      <c r="Q86" s="3" t="s">
        <v>920</v>
      </c>
      <c r="R86" s="3" t="s">
        <v>920</v>
      </c>
      <c r="S86" s="2" t="s">
        <v>38</v>
      </c>
      <c r="T86" s="2" t="s">
        <v>39</v>
      </c>
      <c r="U86" s="2" t="s">
        <v>40</v>
      </c>
      <c r="V86" s="3"/>
    </row>
    <row r="87" spans="1:22">
      <c r="A87" s="2">
        <v>86</v>
      </c>
      <c r="B87" s="3" t="s">
        <v>567</v>
      </c>
      <c r="C87" s="3" t="s">
        <v>921</v>
      </c>
      <c r="D87" s="3" t="s">
        <v>922</v>
      </c>
      <c r="E87" s="2" t="s">
        <v>185</v>
      </c>
      <c r="F87" s="2" t="s">
        <v>26</v>
      </c>
      <c r="G87" s="3" t="s">
        <v>923</v>
      </c>
      <c r="H87" s="2" t="s">
        <v>924</v>
      </c>
      <c r="I87" s="3" t="s">
        <v>29</v>
      </c>
      <c r="J87" s="3" t="s">
        <v>925</v>
      </c>
      <c r="K87" s="3" t="s">
        <v>47</v>
      </c>
      <c r="L87" s="3" t="s">
        <v>108</v>
      </c>
      <c r="M87" s="3" t="s">
        <v>926</v>
      </c>
      <c r="N87" s="3" t="s">
        <v>927</v>
      </c>
      <c r="O87" s="3" t="s">
        <v>928</v>
      </c>
      <c r="P87" s="3" t="s">
        <v>929</v>
      </c>
      <c r="Q87" s="3" t="s">
        <v>930</v>
      </c>
      <c r="R87" s="3" t="s">
        <v>930</v>
      </c>
      <c r="S87" s="2" t="s">
        <v>38</v>
      </c>
      <c r="T87" s="2" t="s">
        <v>39</v>
      </c>
      <c r="U87" s="2" t="s">
        <v>40</v>
      </c>
      <c r="V87" s="3"/>
    </row>
    <row r="88" spans="1:22">
      <c r="A88" s="2">
        <v>87</v>
      </c>
      <c r="B88" s="3" t="s">
        <v>567</v>
      </c>
      <c r="C88" s="3" t="s">
        <v>931</v>
      </c>
      <c r="D88" s="3" t="s">
        <v>932</v>
      </c>
      <c r="E88" s="2" t="s">
        <v>621</v>
      </c>
      <c r="F88" s="2" t="s">
        <v>26</v>
      </c>
      <c r="G88" s="3" t="s">
        <v>933</v>
      </c>
      <c r="H88" s="2" t="s">
        <v>934</v>
      </c>
      <c r="I88" s="3" t="s">
        <v>29</v>
      </c>
      <c r="J88" s="3" t="s">
        <v>935</v>
      </c>
      <c r="K88" s="3" t="s">
        <v>47</v>
      </c>
      <c r="L88" s="3" t="s">
        <v>132</v>
      </c>
      <c r="M88" s="3" t="s">
        <v>936</v>
      </c>
      <c r="N88" s="3" t="s">
        <v>937</v>
      </c>
      <c r="O88" s="3" t="s">
        <v>938</v>
      </c>
      <c r="P88" s="3" t="s">
        <v>939</v>
      </c>
      <c r="Q88" s="3" t="s">
        <v>940</v>
      </c>
      <c r="R88" s="3" t="s">
        <v>940</v>
      </c>
      <c r="S88" s="2" t="s">
        <v>38</v>
      </c>
      <c r="T88" s="2" t="s">
        <v>39</v>
      </c>
      <c r="U88" s="2" t="s">
        <v>40</v>
      </c>
      <c r="V88" s="3"/>
    </row>
    <row r="89" spans="1:22">
      <c r="A89" s="2">
        <v>88</v>
      </c>
      <c r="B89" s="3" t="s">
        <v>567</v>
      </c>
      <c r="C89" s="3" t="s">
        <v>941</v>
      </c>
      <c r="D89" s="3" t="s">
        <v>942</v>
      </c>
      <c r="E89" s="2" t="s">
        <v>116</v>
      </c>
      <c r="F89" s="2" t="s">
        <v>43</v>
      </c>
      <c r="G89" s="3" t="s">
        <v>943</v>
      </c>
      <c r="H89" s="2" t="s">
        <v>944</v>
      </c>
      <c r="I89" s="3" t="s">
        <v>29</v>
      </c>
      <c r="J89" s="3" t="s">
        <v>945</v>
      </c>
      <c r="K89" s="3" t="s">
        <v>47</v>
      </c>
      <c r="L89" s="3" t="s">
        <v>167</v>
      </c>
      <c r="M89" s="3" t="s">
        <v>946</v>
      </c>
      <c r="N89" s="3" t="s">
        <v>947</v>
      </c>
      <c r="O89" s="3" t="s">
        <v>948</v>
      </c>
      <c r="P89" s="3" t="s">
        <v>949</v>
      </c>
      <c r="Q89" s="3" t="s">
        <v>950</v>
      </c>
      <c r="R89" s="3" t="s">
        <v>950</v>
      </c>
      <c r="S89" s="2" t="s">
        <v>38</v>
      </c>
      <c r="T89" s="2" t="s">
        <v>39</v>
      </c>
      <c r="U89" s="2" t="s">
        <v>40</v>
      </c>
      <c r="V89" s="3"/>
    </row>
    <row r="90" spans="1:22">
      <c r="A90" s="2">
        <v>89</v>
      </c>
      <c r="B90" s="3" t="s">
        <v>567</v>
      </c>
      <c r="C90" s="3" t="s">
        <v>951</v>
      </c>
      <c r="D90" s="3" t="s">
        <v>952</v>
      </c>
      <c r="E90" s="2" t="s">
        <v>953</v>
      </c>
      <c r="F90" s="2" t="s">
        <v>26</v>
      </c>
      <c r="G90" s="3" t="s">
        <v>954</v>
      </c>
      <c r="H90" s="2" t="s">
        <v>955</v>
      </c>
      <c r="I90" s="3" t="s">
        <v>29</v>
      </c>
      <c r="J90" s="3" t="s">
        <v>956</v>
      </c>
      <c r="K90" s="3" t="s">
        <v>47</v>
      </c>
      <c r="L90" s="3" t="s">
        <v>132</v>
      </c>
      <c r="M90" s="3" t="s">
        <v>957</v>
      </c>
      <c r="N90" s="3" t="s">
        <v>958</v>
      </c>
      <c r="O90" s="3" t="s">
        <v>959</v>
      </c>
      <c r="P90" s="3" t="s">
        <v>960</v>
      </c>
      <c r="Q90" s="3" t="s">
        <v>961</v>
      </c>
      <c r="R90" s="3" t="s">
        <v>961</v>
      </c>
      <c r="S90" s="2" t="s">
        <v>38</v>
      </c>
      <c r="T90" s="2" t="s">
        <v>39</v>
      </c>
      <c r="U90" s="2" t="s">
        <v>40</v>
      </c>
      <c r="V90" s="3"/>
    </row>
    <row r="91" spans="1:22">
      <c r="A91" s="2">
        <v>90</v>
      </c>
      <c r="B91" s="3" t="s">
        <v>567</v>
      </c>
      <c r="C91" s="3" t="s">
        <v>962</v>
      </c>
      <c r="D91" s="3" t="s">
        <v>963</v>
      </c>
      <c r="E91" s="2" t="s">
        <v>81</v>
      </c>
      <c r="F91" s="2" t="s">
        <v>26</v>
      </c>
      <c r="G91" s="3" t="s">
        <v>964</v>
      </c>
      <c r="H91" s="2" t="s">
        <v>965</v>
      </c>
      <c r="I91" s="3" t="s">
        <v>29</v>
      </c>
      <c r="J91" s="3" t="s">
        <v>966</v>
      </c>
      <c r="K91" s="3" t="s">
        <v>31</v>
      </c>
      <c r="L91" s="3" t="s">
        <v>167</v>
      </c>
      <c r="M91" s="3" t="s">
        <v>967</v>
      </c>
      <c r="N91" s="3" t="s">
        <v>968</v>
      </c>
      <c r="O91" s="3" t="s">
        <v>969</v>
      </c>
      <c r="P91" s="3" t="s">
        <v>970</v>
      </c>
      <c r="Q91" s="3" t="s">
        <v>971</v>
      </c>
      <c r="R91" s="3" t="s">
        <v>971</v>
      </c>
      <c r="S91" s="2" t="s">
        <v>38</v>
      </c>
      <c r="T91" s="2" t="s">
        <v>39</v>
      </c>
      <c r="U91" s="2" t="s">
        <v>40</v>
      </c>
      <c r="V91" s="3"/>
    </row>
    <row r="92" spans="1:22">
      <c r="A92" s="2">
        <v>91</v>
      </c>
      <c r="B92" s="3" t="s">
        <v>567</v>
      </c>
      <c r="C92" s="3" t="s">
        <v>972</v>
      </c>
      <c r="D92" s="3" t="s">
        <v>973</v>
      </c>
      <c r="E92" s="2" t="s">
        <v>128</v>
      </c>
      <c r="F92" s="2" t="s">
        <v>43</v>
      </c>
      <c r="G92" s="3" t="s">
        <v>974</v>
      </c>
      <c r="H92" s="2" t="s">
        <v>975</v>
      </c>
      <c r="I92" s="3" t="s">
        <v>29</v>
      </c>
      <c r="J92" s="3" t="s">
        <v>976</v>
      </c>
      <c r="K92" s="3" t="s">
        <v>107</v>
      </c>
      <c r="L92" s="3" t="s">
        <v>32</v>
      </c>
      <c r="M92" s="3" t="s">
        <v>977</v>
      </c>
      <c r="N92" s="3" t="s">
        <v>978</v>
      </c>
      <c r="O92" s="3" t="s">
        <v>979</v>
      </c>
      <c r="P92" s="3" t="s">
        <v>980</v>
      </c>
      <c r="Q92" s="3" t="s">
        <v>981</v>
      </c>
      <c r="R92" s="3" t="s">
        <v>981</v>
      </c>
      <c r="S92" s="2" t="s">
        <v>38</v>
      </c>
      <c r="T92" s="2" t="s">
        <v>39</v>
      </c>
      <c r="U92" s="2" t="s">
        <v>40</v>
      </c>
      <c r="V92" s="3"/>
    </row>
    <row r="93" spans="1:22">
      <c r="A93" s="2">
        <v>92</v>
      </c>
      <c r="B93" s="3" t="s">
        <v>567</v>
      </c>
      <c r="C93" s="3" t="s">
        <v>982</v>
      </c>
      <c r="D93" s="3" t="s">
        <v>983</v>
      </c>
      <c r="E93" s="2" t="s">
        <v>984</v>
      </c>
      <c r="F93" s="2" t="s">
        <v>43</v>
      </c>
      <c r="G93" s="3" t="s">
        <v>985</v>
      </c>
      <c r="H93" s="2" t="s">
        <v>986</v>
      </c>
      <c r="I93" s="3" t="s">
        <v>29</v>
      </c>
      <c r="J93" s="3" t="s">
        <v>987</v>
      </c>
      <c r="K93" s="3" t="s">
        <v>988</v>
      </c>
      <c r="L93" s="3" t="s">
        <v>989</v>
      </c>
      <c r="M93" s="3" t="s">
        <v>990</v>
      </c>
      <c r="N93" s="3" t="s">
        <v>991</v>
      </c>
      <c r="O93" s="3" t="s">
        <v>992</v>
      </c>
      <c r="P93" s="3" t="s">
        <v>993</v>
      </c>
      <c r="Q93" s="3" t="s">
        <v>994</v>
      </c>
      <c r="R93" s="3" t="s">
        <v>994</v>
      </c>
      <c r="S93" s="2" t="s">
        <v>38</v>
      </c>
      <c r="T93" s="2" t="s">
        <v>39</v>
      </c>
      <c r="U93" s="2" t="s">
        <v>40</v>
      </c>
      <c r="V93" s="3"/>
    </row>
    <row r="94" spans="1:22">
      <c r="A94" s="2">
        <v>93</v>
      </c>
      <c r="B94" s="3" t="s">
        <v>567</v>
      </c>
      <c r="C94" s="3" t="s">
        <v>995</v>
      </c>
      <c r="D94" s="3" t="s">
        <v>996</v>
      </c>
      <c r="E94" s="2" t="s">
        <v>116</v>
      </c>
      <c r="F94" s="2" t="s">
        <v>43</v>
      </c>
      <c r="G94" s="3" t="s">
        <v>997</v>
      </c>
      <c r="H94" s="2" t="s">
        <v>998</v>
      </c>
      <c r="I94" s="3" t="s">
        <v>29</v>
      </c>
      <c r="J94" s="3" t="s">
        <v>999</v>
      </c>
      <c r="K94" s="3" t="s">
        <v>107</v>
      </c>
      <c r="L94" s="3" t="s">
        <v>48</v>
      </c>
      <c r="M94" s="3" t="s">
        <v>1000</v>
      </c>
      <c r="N94" s="3" t="s">
        <v>1001</v>
      </c>
      <c r="O94" s="3" t="s">
        <v>1002</v>
      </c>
      <c r="P94" s="3" t="s">
        <v>1003</v>
      </c>
      <c r="Q94" s="3" t="s">
        <v>1004</v>
      </c>
      <c r="R94" s="3" t="s">
        <v>1004</v>
      </c>
      <c r="S94" s="2" t="s">
        <v>38</v>
      </c>
      <c r="T94" s="2" t="s">
        <v>39</v>
      </c>
      <c r="U94" s="2" t="s">
        <v>40</v>
      </c>
      <c r="V94" s="3"/>
    </row>
    <row r="95" spans="1:22">
      <c r="A95" s="2">
        <v>94</v>
      </c>
      <c r="B95" s="3" t="s">
        <v>567</v>
      </c>
      <c r="C95" s="3" t="s">
        <v>1005</v>
      </c>
      <c r="D95" s="3" t="s">
        <v>1006</v>
      </c>
      <c r="E95" s="2" t="s">
        <v>56</v>
      </c>
      <c r="F95" s="2" t="s">
        <v>26</v>
      </c>
      <c r="G95" s="3" t="s">
        <v>1007</v>
      </c>
      <c r="H95" s="2" t="s">
        <v>1008</v>
      </c>
      <c r="I95" s="3" t="s">
        <v>29</v>
      </c>
      <c r="J95" s="3" t="s">
        <v>1009</v>
      </c>
      <c r="K95" s="3" t="s">
        <v>47</v>
      </c>
      <c r="L95" s="3" t="s">
        <v>293</v>
      </c>
      <c r="M95" s="3" t="s">
        <v>1010</v>
      </c>
      <c r="N95" s="3" t="s">
        <v>1011</v>
      </c>
      <c r="O95" s="3" t="s">
        <v>1012</v>
      </c>
      <c r="P95" s="3" t="s">
        <v>1013</v>
      </c>
      <c r="Q95" s="3" t="s">
        <v>1014</v>
      </c>
      <c r="R95" s="3" t="s">
        <v>1014</v>
      </c>
      <c r="S95" s="2" t="s">
        <v>38</v>
      </c>
      <c r="T95" s="2" t="s">
        <v>39</v>
      </c>
      <c r="U95" s="2" t="s">
        <v>40</v>
      </c>
      <c r="V95" s="3"/>
    </row>
    <row r="96" spans="1:22">
      <c r="A96" s="2">
        <v>95</v>
      </c>
      <c r="B96" s="3" t="s">
        <v>567</v>
      </c>
      <c r="C96" s="3" t="s">
        <v>1015</v>
      </c>
      <c r="D96" s="3" t="s">
        <v>1016</v>
      </c>
      <c r="E96" s="2" t="s">
        <v>1017</v>
      </c>
      <c r="F96" s="2" t="s">
        <v>26</v>
      </c>
      <c r="G96" s="3" t="s">
        <v>1018</v>
      </c>
      <c r="H96" s="2" t="s">
        <v>1019</v>
      </c>
      <c r="I96" s="3" t="s">
        <v>29</v>
      </c>
      <c r="J96" s="3" t="s">
        <v>1020</v>
      </c>
      <c r="K96" s="3" t="s">
        <v>47</v>
      </c>
      <c r="L96" s="3" t="s">
        <v>603</v>
      </c>
      <c r="M96" s="3" t="s">
        <v>1021</v>
      </c>
      <c r="N96" s="3" t="s">
        <v>1022</v>
      </c>
      <c r="O96" s="3" t="s">
        <v>1023</v>
      </c>
      <c r="P96" s="3" t="s">
        <v>1024</v>
      </c>
      <c r="Q96" s="3" t="s">
        <v>1025</v>
      </c>
      <c r="R96" s="3" t="s">
        <v>1025</v>
      </c>
      <c r="S96" s="2" t="s">
        <v>38</v>
      </c>
      <c r="T96" s="2" t="s">
        <v>39</v>
      </c>
      <c r="U96" s="2" t="s">
        <v>40</v>
      </c>
      <c r="V96" s="3"/>
    </row>
    <row r="97" spans="1:22">
      <c r="A97" s="2">
        <v>96</v>
      </c>
      <c r="B97" s="3" t="s">
        <v>567</v>
      </c>
      <c r="C97" s="3" t="s">
        <v>1026</v>
      </c>
      <c r="D97" s="3" t="s">
        <v>1027</v>
      </c>
      <c r="E97" s="2" t="s">
        <v>116</v>
      </c>
      <c r="F97" s="2" t="s">
        <v>43</v>
      </c>
      <c r="G97" s="3" t="s">
        <v>1028</v>
      </c>
      <c r="H97" s="2" t="s">
        <v>1029</v>
      </c>
      <c r="I97" s="3" t="s">
        <v>29</v>
      </c>
      <c r="J97" s="3" t="s">
        <v>1030</v>
      </c>
      <c r="K97" s="3" t="s">
        <v>47</v>
      </c>
      <c r="L97" s="3" t="s">
        <v>293</v>
      </c>
      <c r="M97" s="3" t="s">
        <v>1031</v>
      </c>
      <c r="N97" s="3" t="s">
        <v>1032</v>
      </c>
      <c r="O97" s="3" t="s">
        <v>1033</v>
      </c>
      <c r="P97" s="3" t="s">
        <v>1034</v>
      </c>
      <c r="Q97" s="3" t="s">
        <v>1035</v>
      </c>
      <c r="R97" s="3" t="s">
        <v>1035</v>
      </c>
      <c r="S97" s="2" t="s">
        <v>38</v>
      </c>
      <c r="T97" s="2" t="s">
        <v>39</v>
      </c>
      <c r="U97" s="2" t="s">
        <v>40</v>
      </c>
      <c r="V97" s="3"/>
    </row>
    <row r="98" spans="1:22">
      <c r="A98" s="2">
        <v>97</v>
      </c>
      <c r="B98" s="3" t="s">
        <v>567</v>
      </c>
      <c r="C98" s="3" t="s">
        <v>1036</v>
      </c>
      <c r="D98" s="3" t="s">
        <v>1037</v>
      </c>
      <c r="E98" s="2" t="s">
        <v>621</v>
      </c>
      <c r="F98" s="2" t="s">
        <v>43</v>
      </c>
      <c r="G98" s="3" t="s">
        <v>1038</v>
      </c>
      <c r="H98" s="2" t="s">
        <v>1039</v>
      </c>
      <c r="I98" s="3" t="s">
        <v>29</v>
      </c>
      <c r="J98" s="3" t="s">
        <v>1040</v>
      </c>
      <c r="K98" s="3" t="s">
        <v>47</v>
      </c>
      <c r="L98" s="3" t="s">
        <v>167</v>
      </c>
      <c r="M98" s="3" t="s">
        <v>1041</v>
      </c>
      <c r="N98" s="3" t="s">
        <v>1042</v>
      </c>
      <c r="O98" s="3" t="s">
        <v>1043</v>
      </c>
      <c r="P98" s="3" t="s">
        <v>1044</v>
      </c>
      <c r="Q98" s="3" t="s">
        <v>1045</v>
      </c>
      <c r="R98" s="3" t="s">
        <v>1045</v>
      </c>
      <c r="S98" s="2" t="s">
        <v>38</v>
      </c>
      <c r="T98" s="2" t="s">
        <v>39</v>
      </c>
      <c r="U98" s="2" t="s">
        <v>40</v>
      </c>
      <c r="V98" s="3"/>
    </row>
    <row r="99" spans="1:22">
      <c r="A99" s="2">
        <v>98</v>
      </c>
      <c r="B99" s="3" t="s">
        <v>567</v>
      </c>
      <c r="C99" s="3" t="s">
        <v>1046</v>
      </c>
      <c r="D99" s="3" t="s">
        <v>1047</v>
      </c>
      <c r="E99" s="2" t="s">
        <v>69</v>
      </c>
      <c r="F99" s="2" t="s">
        <v>26</v>
      </c>
      <c r="G99" s="3" t="s">
        <v>1048</v>
      </c>
      <c r="H99" s="2" t="s">
        <v>1049</v>
      </c>
      <c r="I99" s="3" t="s">
        <v>29</v>
      </c>
      <c r="J99" s="3" t="s">
        <v>1050</v>
      </c>
      <c r="K99" s="3" t="s">
        <v>47</v>
      </c>
      <c r="L99" s="3" t="s">
        <v>167</v>
      </c>
      <c r="M99" s="3" t="s">
        <v>1051</v>
      </c>
      <c r="N99" s="3" t="s">
        <v>1052</v>
      </c>
      <c r="O99" s="3" t="s">
        <v>1053</v>
      </c>
      <c r="P99" s="3" t="s">
        <v>1054</v>
      </c>
      <c r="Q99" s="3" t="s">
        <v>1055</v>
      </c>
      <c r="R99" s="3" t="s">
        <v>1055</v>
      </c>
      <c r="S99" s="2" t="s">
        <v>38</v>
      </c>
      <c r="T99" s="2" t="s">
        <v>39</v>
      </c>
      <c r="U99" s="2" t="s">
        <v>40</v>
      </c>
      <c r="V99" s="3"/>
    </row>
    <row r="100" spans="1:22">
      <c r="A100" s="2">
        <v>99</v>
      </c>
      <c r="B100" s="3" t="s">
        <v>567</v>
      </c>
      <c r="C100" s="3" t="s">
        <v>1056</v>
      </c>
      <c r="D100" s="3" t="s">
        <v>1057</v>
      </c>
      <c r="E100" s="2" t="s">
        <v>506</v>
      </c>
      <c r="F100" s="2" t="s">
        <v>26</v>
      </c>
      <c r="G100" s="3" t="s">
        <v>1058</v>
      </c>
      <c r="H100" s="2" t="s">
        <v>1059</v>
      </c>
      <c r="I100" s="3" t="s">
        <v>29</v>
      </c>
      <c r="J100" s="3" t="s">
        <v>1060</v>
      </c>
      <c r="K100" s="3" t="s">
        <v>47</v>
      </c>
      <c r="L100" s="3" t="s">
        <v>132</v>
      </c>
      <c r="M100" s="3" t="s">
        <v>1061</v>
      </c>
      <c r="N100" s="3" t="s">
        <v>1062</v>
      </c>
      <c r="O100" s="3" t="s">
        <v>1063</v>
      </c>
      <c r="P100" s="3" t="s">
        <v>1064</v>
      </c>
      <c r="Q100" s="3" t="s">
        <v>1065</v>
      </c>
      <c r="R100" s="3" t="s">
        <v>1065</v>
      </c>
      <c r="S100" s="2" t="s">
        <v>38</v>
      </c>
      <c r="T100" s="2" t="s">
        <v>39</v>
      </c>
      <c r="U100" s="2" t="s">
        <v>40</v>
      </c>
      <c r="V100" s="3"/>
    </row>
    <row r="101" spans="1:22">
      <c r="A101" s="2">
        <v>100</v>
      </c>
      <c r="B101" s="3" t="s">
        <v>567</v>
      </c>
      <c r="C101" s="3" t="s">
        <v>1066</v>
      </c>
      <c r="D101" s="3" t="s">
        <v>1067</v>
      </c>
      <c r="E101" s="2" t="s">
        <v>621</v>
      </c>
      <c r="F101" s="2" t="s">
        <v>43</v>
      </c>
      <c r="G101" s="3" t="s">
        <v>1068</v>
      </c>
      <c r="H101" s="2" t="s">
        <v>1069</v>
      </c>
      <c r="I101" s="3" t="s">
        <v>29</v>
      </c>
      <c r="J101" s="3" t="s">
        <v>1070</v>
      </c>
      <c r="K101" s="3" t="s">
        <v>47</v>
      </c>
      <c r="L101" s="3" t="s">
        <v>989</v>
      </c>
      <c r="M101" s="3" t="s">
        <v>1071</v>
      </c>
      <c r="N101" s="3" t="s">
        <v>1072</v>
      </c>
      <c r="O101" s="3" t="s">
        <v>1073</v>
      </c>
      <c r="P101" s="3" t="s">
        <v>1074</v>
      </c>
      <c r="Q101" s="3" t="s">
        <v>1075</v>
      </c>
      <c r="R101" s="3" t="s">
        <v>1075</v>
      </c>
      <c r="S101" s="2" t="s">
        <v>38</v>
      </c>
      <c r="T101" s="2" t="s">
        <v>39</v>
      </c>
      <c r="U101" s="2" t="s">
        <v>40</v>
      </c>
      <c r="V101" s="3"/>
    </row>
    <row r="102" spans="1:22">
      <c r="A102" s="2">
        <v>101</v>
      </c>
      <c r="B102" s="3" t="s">
        <v>1076</v>
      </c>
      <c r="C102" s="3" t="s">
        <v>1077</v>
      </c>
      <c r="D102" s="3" t="s">
        <v>1078</v>
      </c>
      <c r="E102" s="2" t="s">
        <v>185</v>
      </c>
      <c r="F102" s="2" t="s">
        <v>43</v>
      </c>
      <c r="G102" s="3" t="s">
        <v>1079</v>
      </c>
      <c r="H102" s="2" t="s">
        <v>1080</v>
      </c>
      <c r="I102" s="3" t="s">
        <v>29</v>
      </c>
      <c r="J102" s="3" t="s">
        <v>1081</v>
      </c>
      <c r="K102" s="3" t="s">
        <v>47</v>
      </c>
      <c r="L102" s="3" t="s">
        <v>989</v>
      </c>
      <c r="M102" s="3" t="s">
        <v>1082</v>
      </c>
      <c r="N102" s="3" t="s">
        <v>1083</v>
      </c>
      <c r="O102" s="3" t="s">
        <v>1084</v>
      </c>
      <c r="P102" s="3" t="s">
        <v>1085</v>
      </c>
      <c r="Q102" s="3" t="s">
        <v>1086</v>
      </c>
      <c r="R102" s="3" t="s">
        <v>1086</v>
      </c>
      <c r="S102" s="2" t="s">
        <v>38</v>
      </c>
      <c r="T102" s="2" t="s">
        <v>39</v>
      </c>
      <c r="U102" s="2" t="s">
        <v>40</v>
      </c>
      <c r="V102" s="3"/>
    </row>
    <row r="103" spans="1:22">
      <c r="A103" s="2">
        <v>102</v>
      </c>
      <c r="B103" s="3" t="s">
        <v>1076</v>
      </c>
      <c r="C103" s="3" t="s">
        <v>1087</v>
      </c>
      <c r="D103" s="3" t="s">
        <v>1088</v>
      </c>
      <c r="E103" s="2" t="s">
        <v>257</v>
      </c>
      <c r="F103" s="2" t="s">
        <v>43</v>
      </c>
      <c r="G103" s="3" t="s">
        <v>1089</v>
      </c>
      <c r="H103" s="2" t="s">
        <v>1090</v>
      </c>
      <c r="I103" s="3" t="s">
        <v>29</v>
      </c>
      <c r="J103" s="3" t="s">
        <v>1091</v>
      </c>
      <c r="K103" s="3" t="s">
        <v>47</v>
      </c>
      <c r="L103" s="3" t="s">
        <v>989</v>
      </c>
      <c r="M103" s="3" t="s">
        <v>1092</v>
      </c>
      <c r="N103" s="3" t="s">
        <v>1093</v>
      </c>
      <c r="O103" s="3" t="s">
        <v>1094</v>
      </c>
      <c r="P103" s="3" t="s">
        <v>1095</v>
      </c>
      <c r="Q103" s="3" t="s">
        <v>1096</v>
      </c>
      <c r="R103" s="3" t="s">
        <v>1096</v>
      </c>
      <c r="S103" s="2" t="s">
        <v>38</v>
      </c>
      <c r="T103" s="2" t="s">
        <v>39</v>
      </c>
      <c r="U103" s="2" t="s">
        <v>40</v>
      </c>
      <c r="V103" s="3"/>
    </row>
    <row r="104" spans="1:22">
      <c r="A104" s="2">
        <v>103</v>
      </c>
      <c r="B104" s="3" t="s">
        <v>1076</v>
      </c>
      <c r="C104" s="3" t="s">
        <v>1097</v>
      </c>
      <c r="D104" s="3" t="s">
        <v>1098</v>
      </c>
      <c r="E104" s="2" t="s">
        <v>56</v>
      </c>
      <c r="F104" s="2" t="s">
        <v>26</v>
      </c>
      <c r="G104" s="3" t="s">
        <v>1099</v>
      </c>
      <c r="H104" s="2" t="s">
        <v>1100</v>
      </c>
      <c r="I104" s="3" t="s">
        <v>29</v>
      </c>
      <c r="J104" s="3" t="s">
        <v>1101</v>
      </c>
      <c r="K104" s="3" t="s">
        <v>272</v>
      </c>
      <c r="L104" s="3" t="s">
        <v>293</v>
      </c>
      <c r="M104" s="3" t="s">
        <v>1102</v>
      </c>
      <c r="N104" s="3" t="s">
        <v>1103</v>
      </c>
      <c r="O104" s="3" t="s">
        <v>1104</v>
      </c>
      <c r="P104" s="3" t="s">
        <v>1105</v>
      </c>
      <c r="Q104" s="3" t="s">
        <v>1106</v>
      </c>
      <c r="R104" s="3" t="s">
        <v>1106</v>
      </c>
      <c r="S104" s="2" t="s">
        <v>38</v>
      </c>
      <c r="T104" s="2" t="s">
        <v>39</v>
      </c>
      <c r="U104" s="2" t="s">
        <v>40</v>
      </c>
      <c r="V104" s="3"/>
    </row>
    <row r="105" spans="1:22">
      <c r="A105" s="2">
        <v>104</v>
      </c>
      <c r="B105" s="3" t="s">
        <v>1076</v>
      </c>
      <c r="C105" s="3" t="s">
        <v>1107</v>
      </c>
      <c r="D105" s="3" t="s">
        <v>1108</v>
      </c>
      <c r="E105" s="2" t="s">
        <v>1109</v>
      </c>
      <c r="F105" s="2" t="s">
        <v>26</v>
      </c>
      <c r="G105" s="3" t="s">
        <v>1110</v>
      </c>
      <c r="H105" s="2" t="s">
        <v>1111</v>
      </c>
      <c r="I105" s="3" t="s">
        <v>29</v>
      </c>
      <c r="J105" s="3" t="s">
        <v>1112</v>
      </c>
      <c r="K105" s="3" t="s">
        <v>47</v>
      </c>
      <c r="L105" s="3" t="s">
        <v>132</v>
      </c>
      <c r="M105" s="3" t="s">
        <v>1113</v>
      </c>
      <c r="N105" s="3" t="s">
        <v>1114</v>
      </c>
      <c r="O105" s="3" t="s">
        <v>1115</v>
      </c>
      <c r="P105" s="3" t="s">
        <v>1116</v>
      </c>
      <c r="Q105" s="3" t="s">
        <v>1117</v>
      </c>
      <c r="R105" s="3" t="s">
        <v>1117</v>
      </c>
      <c r="S105" s="2" t="s">
        <v>38</v>
      </c>
      <c r="T105" s="2" t="s">
        <v>39</v>
      </c>
      <c r="U105" s="2" t="s">
        <v>40</v>
      </c>
      <c r="V105" s="3"/>
    </row>
    <row r="106" spans="1:22">
      <c r="A106" s="2">
        <v>105</v>
      </c>
      <c r="B106" s="3" t="s">
        <v>1076</v>
      </c>
      <c r="C106" s="3" t="s">
        <v>1118</v>
      </c>
      <c r="D106" s="3" t="s">
        <v>1119</v>
      </c>
      <c r="E106" s="2" t="s">
        <v>69</v>
      </c>
      <c r="F106" s="2" t="s">
        <v>26</v>
      </c>
      <c r="G106" s="3" t="s">
        <v>1120</v>
      </c>
      <c r="H106" s="2" t="s">
        <v>1121</v>
      </c>
      <c r="I106" s="3" t="s">
        <v>29</v>
      </c>
      <c r="J106" s="3" t="s">
        <v>1122</v>
      </c>
      <c r="K106" s="3" t="s">
        <v>272</v>
      </c>
      <c r="L106" s="3" t="s">
        <v>323</v>
      </c>
      <c r="M106" s="3" t="s">
        <v>1123</v>
      </c>
      <c r="N106" s="3" t="s">
        <v>1124</v>
      </c>
      <c r="O106" s="3" t="s">
        <v>1125</v>
      </c>
      <c r="P106" s="3" t="s">
        <v>1126</v>
      </c>
      <c r="Q106" s="3" t="s">
        <v>1127</v>
      </c>
      <c r="R106" s="3" t="s">
        <v>1127</v>
      </c>
      <c r="S106" s="2" t="s">
        <v>38</v>
      </c>
      <c r="T106" s="2" t="s">
        <v>39</v>
      </c>
      <c r="U106" s="2" t="s">
        <v>40</v>
      </c>
      <c r="V106" s="3"/>
    </row>
    <row r="107" spans="1:22">
      <c r="A107" s="2">
        <v>106</v>
      </c>
      <c r="B107" s="3" t="s">
        <v>1076</v>
      </c>
      <c r="C107" s="3" t="s">
        <v>1128</v>
      </c>
      <c r="D107" s="3" t="s">
        <v>1129</v>
      </c>
      <c r="E107" s="2" t="s">
        <v>140</v>
      </c>
      <c r="F107" s="2" t="s">
        <v>26</v>
      </c>
      <c r="G107" s="3" t="s">
        <v>1130</v>
      </c>
      <c r="H107" s="2" t="s">
        <v>1131</v>
      </c>
      <c r="I107" s="3" t="s">
        <v>29</v>
      </c>
      <c r="J107" s="3" t="s">
        <v>1132</v>
      </c>
      <c r="K107" s="3" t="s">
        <v>47</v>
      </c>
      <c r="L107" s="3" t="s">
        <v>293</v>
      </c>
      <c r="M107" s="3" t="s">
        <v>1133</v>
      </c>
      <c r="N107" s="3" t="s">
        <v>1134</v>
      </c>
      <c r="O107" s="3" t="s">
        <v>1135</v>
      </c>
      <c r="P107" s="3" t="s">
        <v>1136</v>
      </c>
      <c r="Q107" s="3" t="s">
        <v>1137</v>
      </c>
      <c r="R107" s="3" t="s">
        <v>1137</v>
      </c>
      <c r="S107" s="2" t="s">
        <v>38</v>
      </c>
      <c r="T107" s="2" t="s">
        <v>39</v>
      </c>
      <c r="U107" s="2" t="s">
        <v>40</v>
      </c>
      <c r="V107" s="3"/>
    </row>
    <row r="108" spans="1:22">
      <c r="A108" s="2">
        <v>107</v>
      </c>
      <c r="B108" s="3" t="s">
        <v>1076</v>
      </c>
      <c r="C108" s="3" t="s">
        <v>1138</v>
      </c>
      <c r="D108" s="3" t="s">
        <v>1139</v>
      </c>
      <c r="E108" s="2" t="s">
        <v>103</v>
      </c>
      <c r="F108" s="2" t="s">
        <v>26</v>
      </c>
      <c r="G108" s="3" t="s">
        <v>1140</v>
      </c>
      <c r="H108" s="2" t="s">
        <v>1141</v>
      </c>
      <c r="I108" s="3" t="s">
        <v>29</v>
      </c>
      <c r="J108" s="3" t="s">
        <v>1142</v>
      </c>
      <c r="K108" s="3" t="s">
        <v>47</v>
      </c>
      <c r="L108" s="3" t="s">
        <v>145</v>
      </c>
      <c r="M108" s="3" t="s">
        <v>1143</v>
      </c>
      <c r="N108" s="3" t="s">
        <v>1144</v>
      </c>
      <c r="O108" s="3" t="s">
        <v>1145</v>
      </c>
      <c r="P108" s="3" t="s">
        <v>1146</v>
      </c>
      <c r="Q108" s="3" t="s">
        <v>1147</v>
      </c>
      <c r="R108" s="3" t="s">
        <v>1147</v>
      </c>
      <c r="S108" s="2" t="s">
        <v>38</v>
      </c>
      <c r="T108" s="2" t="s">
        <v>39</v>
      </c>
      <c r="U108" s="2" t="s">
        <v>40</v>
      </c>
      <c r="V108" s="3"/>
    </row>
    <row r="109" spans="1:22">
      <c r="A109" s="2">
        <v>108</v>
      </c>
      <c r="B109" s="3" t="s">
        <v>1076</v>
      </c>
      <c r="C109" s="3" t="s">
        <v>1148</v>
      </c>
      <c r="D109" s="3" t="s">
        <v>1149</v>
      </c>
      <c r="E109" s="2" t="s">
        <v>506</v>
      </c>
      <c r="F109" s="2" t="s">
        <v>26</v>
      </c>
      <c r="G109" s="3" t="s">
        <v>1150</v>
      </c>
      <c r="H109" s="2" t="s">
        <v>1151</v>
      </c>
      <c r="I109" s="3" t="s">
        <v>29</v>
      </c>
      <c r="J109" s="3" t="s">
        <v>1152</v>
      </c>
      <c r="K109" s="3" t="s">
        <v>120</v>
      </c>
      <c r="L109" s="3" t="s">
        <v>32</v>
      </c>
      <c r="M109" s="3" t="s">
        <v>1153</v>
      </c>
      <c r="N109" s="3" t="s">
        <v>1154</v>
      </c>
      <c r="O109" s="3" t="s">
        <v>1155</v>
      </c>
      <c r="P109" s="3" t="s">
        <v>1156</v>
      </c>
      <c r="Q109" s="3" t="s">
        <v>1157</v>
      </c>
      <c r="R109" s="3" t="s">
        <v>1157</v>
      </c>
      <c r="S109" s="2" t="s">
        <v>38</v>
      </c>
      <c r="T109" s="2" t="s">
        <v>39</v>
      </c>
      <c r="U109" s="2" t="s">
        <v>40</v>
      </c>
      <c r="V109" s="3"/>
    </row>
    <row r="110" spans="1:22">
      <c r="A110" s="2">
        <v>109</v>
      </c>
      <c r="B110" s="3" t="s">
        <v>1076</v>
      </c>
      <c r="C110" s="3" t="s">
        <v>1158</v>
      </c>
      <c r="D110" s="3" t="s">
        <v>1159</v>
      </c>
      <c r="E110" s="2" t="s">
        <v>116</v>
      </c>
      <c r="F110" s="2" t="s">
        <v>26</v>
      </c>
      <c r="G110" s="3" t="s">
        <v>1160</v>
      </c>
      <c r="H110" s="2" t="s">
        <v>1161</v>
      </c>
      <c r="I110" s="3" t="s">
        <v>29</v>
      </c>
      <c r="J110" s="3" t="s">
        <v>1162</v>
      </c>
      <c r="K110" s="3" t="s">
        <v>47</v>
      </c>
      <c r="L110" s="3" t="s">
        <v>32</v>
      </c>
      <c r="M110" s="3" t="s">
        <v>1163</v>
      </c>
      <c r="N110" s="3" t="s">
        <v>1164</v>
      </c>
      <c r="O110" s="3" t="s">
        <v>1165</v>
      </c>
      <c r="P110" s="3" t="s">
        <v>1166</v>
      </c>
      <c r="Q110" s="3" t="s">
        <v>1167</v>
      </c>
      <c r="R110" s="3" t="s">
        <v>1167</v>
      </c>
      <c r="S110" s="2" t="s">
        <v>38</v>
      </c>
      <c r="T110" s="2" t="s">
        <v>39</v>
      </c>
      <c r="U110" s="2" t="s">
        <v>40</v>
      </c>
      <c r="V110" s="3"/>
    </row>
    <row r="111" spans="1:22">
      <c r="A111" s="2">
        <v>110</v>
      </c>
      <c r="B111" s="3" t="s">
        <v>1076</v>
      </c>
      <c r="C111" s="3" t="s">
        <v>1168</v>
      </c>
      <c r="D111" s="3" t="s">
        <v>1169</v>
      </c>
      <c r="E111" s="2" t="s">
        <v>81</v>
      </c>
      <c r="F111" s="2" t="s">
        <v>26</v>
      </c>
      <c r="G111" s="3" t="s">
        <v>1170</v>
      </c>
      <c r="H111" s="2" t="s">
        <v>1171</v>
      </c>
      <c r="I111" s="3" t="s">
        <v>29</v>
      </c>
      <c r="J111" s="3" t="s">
        <v>1172</v>
      </c>
      <c r="K111" s="3" t="s">
        <v>47</v>
      </c>
      <c r="L111" s="3" t="s">
        <v>132</v>
      </c>
      <c r="M111" s="3" t="s">
        <v>1173</v>
      </c>
      <c r="N111" s="3" t="s">
        <v>1174</v>
      </c>
      <c r="O111" s="3" t="s">
        <v>1175</v>
      </c>
      <c r="P111" s="3" t="s">
        <v>1176</v>
      </c>
      <c r="Q111" s="3" t="s">
        <v>1177</v>
      </c>
      <c r="R111" s="3" t="s">
        <v>1177</v>
      </c>
      <c r="S111" s="2" t="s">
        <v>38</v>
      </c>
      <c r="T111" s="2" t="s">
        <v>39</v>
      </c>
      <c r="U111" s="2" t="s">
        <v>40</v>
      </c>
      <c r="V111" s="3"/>
    </row>
    <row r="112" spans="1:22">
      <c r="A112" s="2">
        <v>111</v>
      </c>
      <c r="B112" s="3" t="s">
        <v>1076</v>
      </c>
      <c r="C112" s="3" t="s">
        <v>1178</v>
      </c>
      <c r="D112" s="3" t="s">
        <v>1179</v>
      </c>
      <c r="E112" s="2" t="s">
        <v>25</v>
      </c>
      <c r="F112" s="2" t="s">
        <v>43</v>
      </c>
      <c r="G112" s="3" t="s">
        <v>1180</v>
      </c>
      <c r="H112" s="2" t="s">
        <v>1181</v>
      </c>
      <c r="I112" s="3" t="s">
        <v>29</v>
      </c>
      <c r="J112" s="3" t="s">
        <v>1182</v>
      </c>
      <c r="K112" s="3" t="s">
        <v>47</v>
      </c>
      <c r="L112" s="3" t="s">
        <v>145</v>
      </c>
      <c r="M112" s="3" t="s">
        <v>1183</v>
      </c>
      <c r="N112" s="3" t="s">
        <v>1184</v>
      </c>
      <c r="O112" s="3" t="s">
        <v>1185</v>
      </c>
      <c r="P112" s="3" t="s">
        <v>1186</v>
      </c>
      <c r="Q112" s="3" t="s">
        <v>1187</v>
      </c>
      <c r="R112" s="3" t="s">
        <v>1187</v>
      </c>
      <c r="S112" s="2" t="s">
        <v>38</v>
      </c>
      <c r="T112" s="2" t="s">
        <v>39</v>
      </c>
      <c r="U112" s="2" t="s">
        <v>40</v>
      </c>
      <c r="V112" s="3"/>
    </row>
    <row r="113" spans="1:22">
      <c r="A113" s="2">
        <v>112</v>
      </c>
      <c r="B113" s="3" t="s">
        <v>1076</v>
      </c>
      <c r="C113" s="3" t="s">
        <v>1188</v>
      </c>
      <c r="D113" s="3" t="s">
        <v>1189</v>
      </c>
      <c r="E113" s="2" t="s">
        <v>116</v>
      </c>
      <c r="F113" s="2" t="s">
        <v>43</v>
      </c>
      <c r="G113" s="3" t="s">
        <v>1190</v>
      </c>
      <c r="H113" s="2" t="s">
        <v>1191</v>
      </c>
      <c r="I113" s="3" t="s">
        <v>29</v>
      </c>
      <c r="J113" s="3" t="s">
        <v>1192</v>
      </c>
      <c r="K113" s="3" t="s">
        <v>120</v>
      </c>
      <c r="L113" s="3" t="s">
        <v>145</v>
      </c>
      <c r="M113" s="3" t="s">
        <v>1193</v>
      </c>
      <c r="N113" s="3" t="s">
        <v>1194</v>
      </c>
      <c r="O113" s="3" t="s">
        <v>1195</v>
      </c>
      <c r="P113" s="3" t="s">
        <v>1196</v>
      </c>
      <c r="Q113" s="3" t="s">
        <v>1197</v>
      </c>
      <c r="R113" s="3" t="s">
        <v>1197</v>
      </c>
      <c r="S113" s="2" t="s">
        <v>38</v>
      </c>
      <c r="T113" s="2" t="s">
        <v>39</v>
      </c>
      <c r="U113" s="2" t="s">
        <v>40</v>
      </c>
      <c r="V113" s="3"/>
    </row>
    <row r="114" spans="1:22">
      <c r="A114" s="2">
        <v>113</v>
      </c>
      <c r="B114" s="3" t="s">
        <v>1076</v>
      </c>
      <c r="C114" s="3" t="s">
        <v>1198</v>
      </c>
      <c r="D114" s="3" t="s">
        <v>1199</v>
      </c>
      <c r="E114" s="2" t="s">
        <v>185</v>
      </c>
      <c r="F114" s="2" t="s">
        <v>43</v>
      </c>
      <c r="G114" s="3" t="s">
        <v>1200</v>
      </c>
      <c r="H114" s="2" t="s">
        <v>1201</v>
      </c>
      <c r="I114" s="3" t="s">
        <v>29</v>
      </c>
      <c r="J114" s="3" t="s">
        <v>1202</v>
      </c>
      <c r="K114" s="3" t="s">
        <v>47</v>
      </c>
      <c r="L114" s="3" t="s">
        <v>145</v>
      </c>
      <c r="M114" s="3" t="s">
        <v>1203</v>
      </c>
      <c r="N114" s="3" t="s">
        <v>1204</v>
      </c>
      <c r="O114" s="3" t="s">
        <v>1205</v>
      </c>
      <c r="P114" s="3" t="s">
        <v>1206</v>
      </c>
      <c r="Q114" s="3" t="s">
        <v>1207</v>
      </c>
      <c r="R114" s="3" t="s">
        <v>1207</v>
      </c>
      <c r="S114" s="2" t="s">
        <v>38</v>
      </c>
      <c r="T114" s="2" t="s">
        <v>39</v>
      </c>
      <c r="U114" s="2" t="s">
        <v>40</v>
      </c>
      <c r="V114" s="3"/>
    </row>
    <row r="115" spans="1:22">
      <c r="A115" s="2">
        <v>114</v>
      </c>
      <c r="B115" s="3" t="s">
        <v>1076</v>
      </c>
      <c r="C115" s="3" t="s">
        <v>1208</v>
      </c>
      <c r="D115" s="3" t="s">
        <v>1209</v>
      </c>
      <c r="E115" s="2" t="s">
        <v>415</v>
      </c>
      <c r="F115" s="2" t="s">
        <v>26</v>
      </c>
      <c r="G115" s="3" t="s">
        <v>1210</v>
      </c>
      <c r="H115" s="2" t="s">
        <v>1211</v>
      </c>
      <c r="I115" s="3" t="s">
        <v>29</v>
      </c>
      <c r="J115" s="3" t="s">
        <v>1212</v>
      </c>
      <c r="K115" s="3" t="s">
        <v>365</v>
      </c>
      <c r="L115" s="3" t="s">
        <v>61</v>
      </c>
      <c r="M115" s="3" t="s">
        <v>1213</v>
      </c>
      <c r="N115" s="3" t="s">
        <v>1214</v>
      </c>
      <c r="O115" s="3" t="s">
        <v>1215</v>
      </c>
      <c r="P115" s="3" t="s">
        <v>1216</v>
      </c>
      <c r="Q115" s="3" t="s">
        <v>1217</v>
      </c>
      <c r="R115" s="3" t="s">
        <v>1217</v>
      </c>
      <c r="S115" s="2" t="s">
        <v>38</v>
      </c>
      <c r="T115" s="2" t="s">
        <v>39</v>
      </c>
      <c r="U115" s="2" t="s">
        <v>40</v>
      </c>
      <c r="V115" s="3"/>
    </row>
    <row r="116" spans="1:22">
      <c r="A116" s="2">
        <v>115</v>
      </c>
      <c r="B116" s="3" t="s">
        <v>1076</v>
      </c>
      <c r="C116" s="3" t="s">
        <v>1218</v>
      </c>
      <c r="D116" s="3" t="s">
        <v>1219</v>
      </c>
      <c r="E116" s="2" t="s">
        <v>25</v>
      </c>
      <c r="F116" s="2" t="s">
        <v>43</v>
      </c>
      <c r="G116" s="3" t="s">
        <v>1220</v>
      </c>
      <c r="H116" s="2" t="s">
        <v>1221</v>
      </c>
      <c r="I116" s="3" t="s">
        <v>29</v>
      </c>
      <c r="J116" s="3" t="s">
        <v>1222</v>
      </c>
      <c r="K116" s="3" t="s">
        <v>47</v>
      </c>
      <c r="L116" s="3" t="s">
        <v>167</v>
      </c>
      <c r="M116" s="3" t="s">
        <v>1223</v>
      </c>
      <c r="N116" s="3" t="s">
        <v>1224</v>
      </c>
      <c r="O116" s="3" t="s">
        <v>1225</v>
      </c>
      <c r="P116" s="3" t="s">
        <v>1226</v>
      </c>
      <c r="Q116" s="3" t="s">
        <v>1227</v>
      </c>
      <c r="R116" s="3" t="s">
        <v>1227</v>
      </c>
      <c r="S116" s="2" t="s">
        <v>38</v>
      </c>
      <c r="T116" s="2" t="s">
        <v>39</v>
      </c>
      <c r="U116" s="2" t="s">
        <v>40</v>
      </c>
      <c r="V116" s="3"/>
    </row>
    <row r="117" spans="1:22">
      <c r="A117" s="2">
        <v>116</v>
      </c>
      <c r="B117" s="3" t="s">
        <v>1076</v>
      </c>
      <c r="C117" s="3" t="s">
        <v>1228</v>
      </c>
      <c r="D117" s="3" t="s">
        <v>1229</v>
      </c>
      <c r="E117" s="2" t="s">
        <v>206</v>
      </c>
      <c r="F117" s="2" t="s">
        <v>26</v>
      </c>
      <c r="G117" s="3" t="s">
        <v>1230</v>
      </c>
      <c r="H117" s="2" t="s">
        <v>1231</v>
      </c>
      <c r="I117" s="3" t="s">
        <v>29</v>
      </c>
      <c r="J117" s="3" t="s">
        <v>1232</v>
      </c>
      <c r="K117" s="3" t="s">
        <v>47</v>
      </c>
      <c r="L117" s="3" t="s">
        <v>73</v>
      </c>
      <c r="M117" s="3" t="s">
        <v>1233</v>
      </c>
      <c r="N117" s="3" t="s">
        <v>1234</v>
      </c>
      <c r="O117" s="3" t="s">
        <v>1235</v>
      </c>
      <c r="P117" s="3" t="s">
        <v>1236</v>
      </c>
      <c r="Q117" s="3" t="s">
        <v>1237</v>
      </c>
      <c r="R117" s="3" t="s">
        <v>1237</v>
      </c>
      <c r="S117" s="2" t="s">
        <v>38</v>
      </c>
      <c r="T117" s="2" t="s">
        <v>39</v>
      </c>
      <c r="U117" s="2" t="s">
        <v>40</v>
      </c>
      <c r="V117" s="3"/>
    </row>
    <row r="118" spans="1:22">
      <c r="A118" s="2">
        <v>117</v>
      </c>
      <c r="B118" s="3" t="s">
        <v>1076</v>
      </c>
      <c r="C118" s="3" t="s">
        <v>1238</v>
      </c>
      <c r="D118" s="3" t="s">
        <v>1239</v>
      </c>
      <c r="E118" s="2" t="s">
        <v>185</v>
      </c>
      <c r="F118" s="2" t="s">
        <v>43</v>
      </c>
      <c r="G118" s="3" t="s">
        <v>1240</v>
      </c>
      <c r="H118" s="2" t="s">
        <v>1241</v>
      </c>
      <c r="I118" s="3" t="s">
        <v>29</v>
      </c>
      <c r="J118" s="3" t="s">
        <v>1242</v>
      </c>
      <c r="K118" s="3" t="s">
        <v>47</v>
      </c>
      <c r="L118" s="3" t="s">
        <v>323</v>
      </c>
      <c r="M118" s="3" t="s">
        <v>1243</v>
      </c>
      <c r="N118" s="3" t="s">
        <v>1244</v>
      </c>
      <c r="O118" s="3" t="s">
        <v>1245</v>
      </c>
      <c r="P118" s="3" t="s">
        <v>1246</v>
      </c>
      <c r="Q118" s="3" t="s">
        <v>1247</v>
      </c>
      <c r="R118" s="3" t="s">
        <v>1247</v>
      </c>
      <c r="S118" s="2" t="s">
        <v>38</v>
      </c>
      <c r="T118" s="2" t="s">
        <v>39</v>
      </c>
      <c r="U118" s="2" t="s">
        <v>40</v>
      </c>
      <c r="V118" s="3"/>
    </row>
    <row r="119" spans="1:22">
      <c r="A119" s="2">
        <v>118</v>
      </c>
      <c r="B119" s="3" t="s">
        <v>1076</v>
      </c>
      <c r="C119" s="3" t="s">
        <v>1248</v>
      </c>
      <c r="D119" s="3" t="s">
        <v>1249</v>
      </c>
      <c r="E119" s="2" t="s">
        <v>506</v>
      </c>
      <c r="F119" s="2" t="s">
        <v>26</v>
      </c>
      <c r="G119" s="3" t="s">
        <v>1250</v>
      </c>
      <c r="H119" s="2" t="s">
        <v>1251</v>
      </c>
      <c r="I119" s="3" t="s">
        <v>29</v>
      </c>
      <c r="J119" s="3" t="s">
        <v>1252</v>
      </c>
      <c r="K119" s="3" t="s">
        <v>47</v>
      </c>
      <c r="L119" s="3" t="s">
        <v>132</v>
      </c>
      <c r="M119" s="3" t="s">
        <v>1253</v>
      </c>
      <c r="N119" s="3" t="s">
        <v>1254</v>
      </c>
      <c r="O119" s="3" t="s">
        <v>1255</v>
      </c>
      <c r="P119" s="3" t="s">
        <v>1256</v>
      </c>
      <c r="Q119" s="3" t="s">
        <v>1257</v>
      </c>
      <c r="R119" s="3" t="s">
        <v>1257</v>
      </c>
      <c r="S119" s="2" t="s">
        <v>38</v>
      </c>
      <c r="T119" s="2" t="s">
        <v>39</v>
      </c>
      <c r="U119" s="2" t="s">
        <v>40</v>
      </c>
      <c r="V119" s="3"/>
    </row>
    <row r="120" spans="1:22">
      <c r="A120" s="2">
        <v>119</v>
      </c>
      <c r="B120" s="3" t="s">
        <v>1076</v>
      </c>
      <c r="C120" s="3" t="s">
        <v>1258</v>
      </c>
      <c r="D120" s="3" t="s">
        <v>1259</v>
      </c>
      <c r="E120" s="2" t="s">
        <v>206</v>
      </c>
      <c r="F120" s="2" t="s">
        <v>26</v>
      </c>
      <c r="G120" s="3" t="s">
        <v>1260</v>
      </c>
      <c r="H120" s="2" t="s">
        <v>1261</v>
      </c>
      <c r="I120" s="3" t="s">
        <v>29</v>
      </c>
      <c r="J120" s="3" t="s">
        <v>1262</v>
      </c>
      <c r="K120" s="3" t="s">
        <v>47</v>
      </c>
      <c r="L120" s="3" t="s">
        <v>32</v>
      </c>
      <c r="M120" s="3" t="s">
        <v>1263</v>
      </c>
      <c r="N120" s="3" t="s">
        <v>1264</v>
      </c>
      <c r="O120" s="3" t="s">
        <v>1265</v>
      </c>
      <c r="P120" s="3" t="s">
        <v>1266</v>
      </c>
      <c r="Q120" s="3" t="s">
        <v>1267</v>
      </c>
      <c r="R120" s="3" t="s">
        <v>1267</v>
      </c>
      <c r="S120" s="2" t="s">
        <v>38</v>
      </c>
      <c r="T120" s="2" t="s">
        <v>39</v>
      </c>
      <c r="U120" s="2" t="s">
        <v>40</v>
      </c>
      <c r="V120" s="3"/>
    </row>
    <row r="121" spans="1:22">
      <c r="A121" s="2">
        <v>120</v>
      </c>
      <c r="B121" s="3" t="s">
        <v>1076</v>
      </c>
      <c r="C121" s="3" t="s">
        <v>1268</v>
      </c>
      <c r="D121" s="3" t="s">
        <v>1269</v>
      </c>
      <c r="E121" s="2" t="s">
        <v>128</v>
      </c>
      <c r="F121" s="2" t="s">
        <v>26</v>
      </c>
      <c r="G121" s="3" t="s">
        <v>1270</v>
      </c>
      <c r="H121" s="2" t="s">
        <v>1271</v>
      </c>
      <c r="I121" s="3" t="s">
        <v>29</v>
      </c>
      <c r="J121" s="3" t="s">
        <v>1272</v>
      </c>
      <c r="K121" s="3" t="s">
        <v>47</v>
      </c>
      <c r="L121" s="3" t="s">
        <v>323</v>
      </c>
      <c r="M121" s="3" t="s">
        <v>1273</v>
      </c>
      <c r="N121" s="3" t="s">
        <v>1274</v>
      </c>
      <c r="O121" s="3" t="s">
        <v>1275</v>
      </c>
      <c r="P121" s="3" t="s">
        <v>1276</v>
      </c>
      <c r="Q121" s="3" t="s">
        <v>1277</v>
      </c>
      <c r="R121" s="3" t="s">
        <v>1277</v>
      </c>
      <c r="S121" s="2" t="s">
        <v>38</v>
      </c>
      <c r="T121" s="2" t="s">
        <v>39</v>
      </c>
      <c r="U121" s="2" t="s">
        <v>40</v>
      </c>
      <c r="V121" s="3"/>
    </row>
    <row r="122" spans="1:22">
      <c r="A122" s="2">
        <v>121</v>
      </c>
      <c r="B122" s="3" t="s">
        <v>1076</v>
      </c>
      <c r="C122" s="3" t="s">
        <v>1278</v>
      </c>
      <c r="D122" s="3" t="s">
        <v>1279</v>
      </c>
      <c r="E122" s="2" t="s">
        <v>56</v>
      </c>
      <c r="F122" s="2" t="s">
        <v>26</v>
      </c>
      <c r="G122" s="3" t="s">
        <v>1280</v>
      </c>
      <c r="H122" s="2" t="s">
        <v>1281</v>
      </c>
      <c r="I122" s="3" t="s">
        <v>29</v>
      </c>
      <c r="J122" s="3" t="s">
        <v>1282</v>
      </c>
      <c r="K122" s="3" t="s">
        <v>47</v>
      </c>
      <c r="L122" s="3" t="s">
        <v>323</v>
      </c>
      <c r="M122" s="3" t="s">
        <v>1283</v>
      </c>
      <c r="N122" s="3" t="s">
        <v>1284</v>
      </c>
      <c r="O122" s="3" t="s">
        <v>1285</v>
      </c>
      <c r="P122" s="3" t="s">
        <v>1286</v>
      </c>
      <c r="Q122" s="3" t="s">
        <v>1287</v>
      </c>
      <c r="R122" s="3" t="s">
        <v>1287</v>
      </c>
      <c r="S122" s="2" t="s">
        <v>38</v>
      </c>
      <c r="T122" s="2" t="s">
        <v>39</v>
      </c>
      <c r="U122" s="2" t="s">
        <v>40</v>
      </c>
      <c r="V122" s="3"/>
    </row>
    <row r="123" spans="1:22">
      <c r="A123" s="2">
        <v>122</v>
      </c>
      <c r="B123" s="3" t="s">
        <v>1076</v>
      </c>
      <c r="C123" s="3" t="s">
        <v>1288</v>
      </c>
      <c r="D123" s="3" t="s">
        <v>1289</v>
      </c>
      <c r="E123" s="2" t="s">
        <v>103</v>
      </c>
      <c r="F123" s="2" t="s">
        <v>26</v>
      </c>
      <c r="G123" s="3" t="s">
        <v>1290</v>
      </c>
      <c r="H123" s="2" t="s">
        <v>1291</v>
      </c>
      <c r="I123" s="3" t="s">
        <v>29</v>
      </c>
      <c r="J123" s="3" t="s">
        <v>1292</v>
      </c>
      <c r="K123" s="3" t="s">
        <v>47</v>
      </c>
      <c r="L123" s="3" t="s">
        <v>323</v>
      </c>
      <c r="M123" s="3" t="s">
        <v>1283</v>
      </c>
      <c r="N123" s="3" t="s">
        <v>1293</v>
      </c>
      <c r="O123" s="3" t="s">
        <v>1294</v>
      </c>
      <c r="P123" s="3" t="s">
        <v>1295</v>
      </c>
      <c r="Q123" s="3" t="s">
        <v>1296</v>
      </c>
      <c r="R123" s="3" t="s">
        <v>1296</v>
      </c>
      <c r="S123" s="2" t="s">
        <v>38</v>
      </c>
      <c r="T123" s="2" t="s">
        <v>39</v>
      </c>
      <c r="U123" s="2" t="s">
        <v>40</v>
      </c>
      <c r="V123" s="3"/>
    </row>
    <row r="124" spans="1:22">
      <c r="A124" s="2">
        <v>123</v>
      </c>
      <c r="B124" s="3" t="s">
        <v>1076</v>
      </c>
      <c r="C124" s="3" t="s">
        <v>1297</v>
      </c>
      <c r="D124" s="3" t="s">
        <v>1298</v>
      </c>
      <c r="E124" s="2" t="s">
        <v>185</v>
      </c>
      <c r="F124" s="2" t="s">
        <v>26</v>
      </c>
      <c r="G124" s="3" t="s">
        <v>1299</v>
      </c>
      <c r="H124" s="2" t="s">
        <v>1300</v>
      </c>
      <c r="I124" s="3" t="s">
        <v>29</v>
      </c>
      <c r="J124" s="3" t="s">
        <v>1301</v>
      </c>
      <c r="K124" s="3" t="s">
        <v>47</v>
      </c>
      <c r="L124" s="3" t="s">
        <v>323</v>
      </c>
      <c r="M124" s="3" t="s">
        <v>1302</v>
      </c>
      <c r="N124" s="3" t="s">
        <v>1303</v>
      </c>
      <c r="O124" s="3" t="s">
        <v>1304</v>
      </c>
      <c r="P124" s="3" t="s">
        <v>1305</v>
      </c>
      <c r="Q124" s="3" t="s">
        <v>1306</v>
      </c>
      <c r="R124" s="3" t="s">
        <v>1306</v>
      </c>
      <c r="S124" s="2" t="s">
        <v>38</v>
      </c>
      <c r="T124" s="2" t="s">
        <v>39</v>
      </c>
      <c r="U124" s="2" t="s">
        <v>40</v>
      </c>
      <c r="V124" s="3"/>
    </row>
    <row r="125" spans="1:22">
      <c r="A125" s="2">
        <v>124</v>
      </c>
      <c r="B125" s="3" t="s">
        <v>1076</v>
      </c>
      <c r="C125" s="3" t="s">
        <v>1307</v>
      </c>
      <c r="D125" s="3" t="s">
        <v>1308</v>
      </c>
      <c r="E125" s="2" t="s">
        <v>116</v>
      </c>
      <c r="F125" s="2" t="s">
        <v>26</v>
      </c>
      <c r="G125" s="3" t="s">
        <v>1309</v>
      </c>
      <c r="H125" s="2" t="s">
        <v>1310</v>
      </c>
      <c r="I125" s="3" t="s">
        <v>29</v>
      </c>
      <c r="J125" s="3" t="s">
        <v>1311</v>
      </c>
      <c r="K125" s="3" t="s">
        <v>47</v>
      </c>
      <c r="L125" s="3" t="s">
        <v>293</v>
      </c>
      <c r="M125" s="3" t="s">
        <v>1312</v>
      </c>
      <c r="N125" s="3" t="s">
        <v>1313</v>
      </c>
      <c r="O125" s="3" t="s">
        <v>1314</v>
      </c>
      <c r="P125" s="3" t="s">
        <v>1315</v>
      </c>
      <c r="Q125" s="3" t="s">
        <v>1316</v>
      </c>
      <c r="R125" s="3" t="s">
        <v>1316</v>
      </c>
      <c r="S125" s="2" t="s">
        <v>38</v>
      </c>
      <c r="T125" s="2" t="s">
        <v>39</v>
      </c>
      <c r="U125" s="2" t="s">
        <v>40</v>
      </c>
      <c r="V125" s="3"/>
    </row>
    <row r="126" spans="1:22">
      <c r="A126" s="2">
        <v>125</v>
      </c>
      <c r="B126" s="3" t="s">
        <v>1076</v>
      </c>
      <c r="C126" s="3" t="s">
        <v>1317</v>
      </c>
      <c r="D126" s="3" t="s">
        <v>1318</v>
      </c>
      <c r="E126" s="2" t="s">
        <v>621</v>
      </c>
      <c r="F126" s="2" t="s">
        <v>26</v>
      </c>
      <c r="G126" s="3" t="s">
        <v>1319</v>
      </c>
      <c r="H126" s="2" t="s">
        <v>1320</v>
      </c>
      <c r="I126" s="3" t="s">
        <v>29</v>
      </c>
      <c r="J126" s="3" t="s">
        <v>1321</v>
      </c>
      <c r="K126" s="3" t="s">
        <v>120</v>
      </c>
      <c r="L126" s="3" t="s">
        <v>132</v>
      </c>
      <c r="M126" s="3" t="s">
        <v>1322</v>
      </c>
      <c r="N126" s="3" t="s">
        <v>1323</v>
      </c>
      <c r="O126" s="3" t="s">
        <v>1324</v>
      </c>
      <c r="P126" s="3" t="s">
        <v>1325</v>
      </c>
      <c r="Q126" s="3" t="s">
        <v>1326</v>
      </c>
      <c r="R126" s="3" t="s">
        <v>1326</v>
      </c>
      <c r="S126" s="2" t="s">
        <v>38</v>
      </c>
      <c r="T126" s="2" t="s">
        <v>39</v>
      </c>
      <c r="U126" s="2" t="s">
        <v>40</v>
      </c>
      <c r="V126" s="3"/>
    </row>
    <row r="127" spans="1:22">
      <c r="A127" s="2">
        <v>126</v>
      </c>
      <c r="B127" s="3" t="s">
        <v>1076</v>
      </c>
      <c r="C127" s="3" t="s">
        <v>1327</v>
      </c>
      <c r="D127" s="3" t="s">
        <v>1328</v>
      </c>
      <c r="E127" s="2" t="s">
        <v>56</v>
      </c>
      <c r="F127" s="2" t="s">
        <v>26</v>
      </c>
      <c r="G127" s="3" t="s">
        <v>1329</v>
      </c>
      <c r="H127" s="2" t="s">
        <v>1330</v>
      </c>
      <c r="I127" s="3" t="s">
        <v>29</v>
      </c>
      <c r="J127" s="3" t="s">
        <v>1331</v>
      </c>
      <c r="K127" s="3" t="s">
        <v>272</v>
      </c>
      <c r="L127" s="3" t="s">
        <v>323</v>
      </c>
      <c r="M127" s="3" t="s">
        <v>1332</v>
      </c>
      <c r="N127" s="3" t="s">
        <v>1333</v>
      </c>
      <c r="O127" s="3" t="s">
        <v>1334</v>
      </c>
      <c r="P127" s="3" t="s">
        <v>1335</v>
      </c>
      <c r="Q127" s="3" t="s">
        <v>1336</v>
      </c>
      <c r="R127" s="3" t="s">
        <v>1336</v>
      </c>
      <c r="S127" s="2" t="s">
        <v>38</v>
      </c>
      <c r="T127" s="2" t="s">
        <v>39</v>
      </c>
      <c r="U127" s="2" t="s">
        <v>40</v>
      </c>
      <c r="V127" s="3"/>
    </row>
    <row r="128" spans="1:22">
      <c r="A128" s="2">
        <v>127</v>
      </c>
      <c r="B128" s="3" t="s">
        <v>1076</v>
      </c>
      <c r="C128" s="3" t="s">
        <v>1337</v>
      </c>
      <c r="D128" s="3" t="s">
        <v>1338</v>
      </c>
      <c r="E128" s="2" t="s">
        <v>103</v>
      </c>
      <c r="F128" s="2" t="s">
        <v>26</v>
      </c>
      <c r="G128" s="3" t="s">
        <v>1339</v>
      </c>
      <c r="H128" s="2" t="s">
        <v>1340</v>
      </c>
      <c r="I128" s="3" t="s">
        <v>29</v>
      </c>
      <c r="J128" s="3" t="s">
        <v>1341</v>
      </c>
      <c r="K128" s="3" t="s">
        <v>47</v>
      </c>
      <c r="L128" s="3" t="s">
        <v>323</v>
      </c>
      <c r="M128" s="3" t="s">
        <v>1342</v>
      </c>
      <c r="N128" s="3" t="s">
        <v>1343</v>
      </c>
      <c r="O128" s="3" t="s">
        <v>1344</v>
      </c>
      <c r="P128" s="3" t="s">
        <v>1345</v>
      </c>
      <c r="Q128" s="3" t="s">
        <v>1346</v>
      </c>
      <c r="R128" s="3" t="s">
        <v>1346</v>
      </c>
      <c r="S128" s="2" t="s">
        <v>38</v>
      </c>
      <c r="T128" s="2" t="s">
        <v>39</v>
      </c>
      <c r="U128" s="2" t="s">
        <v>40</v>
      </c>
      <c r="V128" s="3"/>
    </row>
    <row r="129" spans="1:22">
      <c r="A129" s="2">
        <v>128</v>
      </c>
      <c r="B129" s="3" t="s">
        <v>1076</v>
      </c>
      <c r="C129" s="3" t="s">
        <v>1347</v>
      </c>
      <c r="D129" s="3" t="s">
        <v>1348</v>
      </c>
      <c r="E129" s="2" t="s">
        <v>56</v>
      </c>
      <c r="F129" s="2" t="s">
        <v>26</v>
      </c>
      <c r="G129" s="3" t="s">
        <v>1349</v>
      </c>
      <c r="H129" s="2" t="s">
        <v>1350</v>
      </c>
      <c r="I129" s="3" t="s">
        <v>29</v>
      </c>
      <c r="J129" s="3" t="s">
        <v>1351</v>
      </c>
      <c r="K129" s="3" t="s">
        <v>120</v>
      </c>
      <c r="L129" s="3" t="s">
        <v>167</v>
      </c>
      <c r="M129" s="3" t="s">
        <v>1352</v>
      </c>
      <c r="N129" s="3" t="s">
        <v>1353</v>
      </c>
      <c r="O129" s="3" t="s">
        <v>1354</v>
      </c>
      <c r="P129" s="3" t="s">
        <v>1355</v>
      </c>
      <c r="Q129" s="3" t="s">
        <v>1356</v>
      </c>
      <c r="R129" s="3" t="s">
        <v>1356</v>
      </c>
      <c r="S129" s="2" t="s">
        <v>38</v>
      </c>
      <c r="T129" s="2" t="s">
        <v>39</v>
      </c>
      <c r="U129" s="2" t="s">
        <v>40</v>
      </c>
      <c r="V129" s="3"/>
    </row>
    <row r="130" spans="1:22">
      <c r="A130" s="2">
        <v>129</v>
      </c>
      <c r="B130" s="3" t="s">
        <v>1076</v>
      </c>
      <c r="C130" s="3" t="s">
        <v>1357</v>
      </c>
      <c r="D130" s="3" t="s">
        <v>1358</v>
      </c>
      <c r="E130" s="2" t="s">
        <v>56</v>
      </c>
      <c r="F130" s="2" t="s">
        <v>26</v>
      </c>
      <c r="G130" s="3" t="s">
        <v>1359</v>
      </c>
      <c r="H130" s="2" t="s">
        <v>1360</v>
      </c>
      <c r="I130" s="3" t="s">
        <v>29</v>
      </c>
      <c r="J130" s="3" t="s">
        <v>1361</v>
      </c>
      <c r="K130" s="3" t="s">
        <v>47</v>
      </c>
      <c r="L130" s="3" t="s">
        <v>323</v>
      </c>
      <c r="M130" s="3" t="s">
        <v>1362</v>
      </c>
      <c r="N130" s="3" t="s">
        <v>1363</v>
      </c>
      <c r="O130" s="3" t="s">
        <v>1364</v>
      </c>
      <c r="P130" s="3" t="s">
        <v>1365</v>
      </c>
      <c r="Q130" s="3" t="s">
        <v>1366</v>
      </c>
      <c r="R130" s="3" t="s">
        <v>1366</v>
      </c>
      <c r="S130" s="2" t="s">
        <v>38</v>
      </c>
      <c r="T130" s="2" t="s">
        <v>39</v>
      </c>
      <c r="U130" s="2" t="s">
        <v>40</v>
      </c>
      <c r="V130" s="3"/>
    </row>
    <row r="131" spans="1:22">
      <c r="A131" s="2">
        <v>130</v>
      </c>
      <c r="B131" s="3" t="s">
        <v>1076</v>
      </c>
      <c r="C131" s="3" t="s">
        <v>1367</v>
      </c>
      <c r="D131" s="3" t="s">
        <v>1368</v>
      </c>
      <c r="E131" s="2" t="s">
        <v>351</v>
      </c>
      <c r="F131" s="2" t="s">
        <v>43</v>
      </c>
      <c r="G131" s="3" t="s">
        <v>1369</v>
      </c>
      <c r="H131" s="2" t="s">
        <v>1370</v>
      </c>
      <c r="I131" s="3" t="s">
        <v>29</v>
      </c>
      <c r="J131" s="3" t="s">
        <v>1371</v>
      </c>
      <c r="K131" s="3" t="s">
        <v>47</v>
      </c>
      <c r="L131" s="3" t="s">
        <v>323</v>
      </c>
      <c r="M131" s="3" t="s">
        <v>1372</v>
      </c>
      <c r="N131" s="3" t="s">
        <v>1373</v>
      </c>
      <c r="O131" s="3" t="s">
        <v>1374</v>
      </c>
      <c r="P131" s="3" t="s">
        <v>1375</v>
      </c>
      <c r="Q131" s="3" t="s">
        <v>1376</v>
      </c>
      <c r="R131" s="3" t="s">
        <v>1376</v>
      </c>
      <c r="S131" s="2" t="s">
        <v>38</v>
      </c>
      <c r="T131" s="2" t="s">
        <v>39</v>
      </c>
      <c r="U131" s="2" t="s">
        <v>40</v>
      </c>
      <c r="V131" s="3"/>
    </row>
    <row r="132" spans="1:22">
      <c r="A132" s="2">
        <v>131</v>
      </c>
      <c r="B132" s="3" t="s">
        <v>1076</v>
      </c>
      <c r="C132" s="3" t="s">
        <v>1377</v>
      </c>
      <c r="D132" s="3" t="s">
        <v>1378</v>
      </c>
      <c r="E132" s="2" t="s">
        <v>1379</v>
      </c>
      <c r="F132" s="2" t="s">
        <v>43</v>
      </c>
      <c r="G132" s="3" t="s">
        <v>1380</v>
      </c>
      <c r="H132" s="2" t="s">
        <v>1381</v>
      </c>
      <c r="I132" s="3" t="s">
        <v>29</v>
      </c>
      <c r="J132" s="3" t="s">
        <v>1382</v>
      </c>
      <c r="K132" s="3" t="s">
        <v>47</v>
      </c>
      <c r="L132" s="3" t="s">
        <v>132</v>
      </c>
      <c r="M132" s="3" t="s">
        <v>1383</v>
      </c>
      <c r="N132" s="3" t="s">
        <v>1384</v>
      </c>
      <c r="O132" s="3" t="s">
        <v>1385</v>
      </c>
      <c r="P132" s="3" t="s">
        <v>1386</v>
      </c>
      <c r="Q132" s="3" t="s">
        <v>1387</v>
      </c>
      <c r="R132" s="3" t="s">
        <v>1387</v>
      </c>
      <c r="S132" s="2" t="s">
        <v>38</v>
      </c>
      <c r="T132" s="2" t="s">
        <v>39</v>
      </c>
      <c r="U132" s="2" t="s">
        <v>40</v>
      </c>
      <c r="V132" s="3"/>
    </row>
    <row r="133" spans="1:22">
      <c r="A133" s="2">
        <v>132</v>
      </c>
      <c r="B133" s="3" t="s">
        <v>1076</v>
      </c>
      <c r="C133" s="3" t="s">
        <v>1388</v>
      </c>
      <c r="D133" s="3" t="s">
        <v>1389</v>
      </c>
      <c r="E133" s="2" t="s">
        <v>56</v>
      </c>
      <c r="F133" s="2" t="s">
        <v>43</v>
      </c>
      <c r="G133" s="3" t="s">
        <v>1390</v>
      </c>
      <c r="H133" s="2" t="s">
        <v>1391</v>
      </c>
      <c r="I133" s="3" t="s">
        <v>29</v>
      </c>
      <c r="J133" s="3" t="s">
        <v>1392</v>
      </c>
      <c r="K133" s="3" t="s">
        <v>261</v>
      </c>
      <c r="L133" s="3" t="s">
        <v>32</v>
      </c>
      <c r="M133" s="3" t="s">
        <v>1393</v>
      </c>
      <c r="N133" s="3" t="s">
        <v>1394</v>
      </c>
      <c r="O133" s="3" t="s">
        <v>1395</v>
      </c>
      <c r="P133" s="3" t="s">
        <v>1396</v>
      </c>
      <c r="Q133" s="3" t="s">
        <v>1397</v>
      </c>
      <c r="R133" s="3" t="s">
        <v>1397</v>
      </c>
      <c r="S133" s="2" t="s">
        <v>38</v>
      </c>
      <c r="T133" s="2" t="s">
        <v>39</v>
      </c>
      <c r="U133" s="2" t="s">
        <v>40</v>
      </c>
      <c r="V133" s="3"/>
    </row>
    <row r="134" spans="1:22">
      <c r="A134" s="2">
        <v>133</v>
      </c>
      <c r="B134" s="3" t="s">
        <v>1076</v>
      </c>
      <c r="C134" s="3" t="s">
        <v>1398</v>
      </c>
      <c r="D134" s="3" t="s">
        <v>1399</v>
      </c>
      <c r="E134" s="2" t="s">
        <v>506</v>
      </c>
      <c r="F134" s="2" t="s">
        <v>43</v>
      </c>
      <c r="G134" s="3" t="s">
        <v>1400</v>
      </c>
      <c r="H134" s="2" t="s">
        <v>1401</v>
      </c>
      <c r="I134" s="3" t="s">
        <v>29</v>
      </c>
      <c r="J134" s="3" t="s">
        <v>1402</v>
      </c>
      <c r="K134" s="3" t="s">
        <v>541</v>
      </c>
      <c r="L134" s="3" t="s">
        <v>48</v>
      </c>
      <c r="M134" s="3" t="s">
        <v>1403</v>
      </c>
      <c r="N134" s="3" t="s">
        <v>1404</v>
      </c>
      <c r="O134" s="3" t="s">
        <v>1405</v>
      </c>
      <c r="P134" s="3" t="s">
        <v>1406</v>
      </c>
      <c r="Q134" s="3" t="s">
        <v>1407</v>
      </c>
      <c r="R134" s="3" t="s">
        <v>1407</v>
      </c>
      <c r="S134" s="2" t="s">
        <v>38</v>
      </c>
      <c r="T134" s="2" t="s">
        <v>39</v>
      </c>
      <c r="U134" s="2" t="s">
        <v>40</v>
      </c>
      <c r="V134" s="3"/>
    </row>
    <row r="135" spans="1:22">
      <c r="A135" s="2">
        <v>134</v>
      </c>
      <c r="B135" s="3" t="s">
        <v>1076</v>
      </c>
      <c r="C135" s="3" t="s">
        <v>1408</v>
      </c>
      <c r="D135" s="3" t="s">
        <v>1409</v>
      </c>
      <c r="E135" s="2" t="s">
        <v>913</v>
      </c>
      <c r="F135" s="2" t="s">
        <v>26</v>
      </c>
      <c r="G135" s="3" t="s">
        <v>1410</v>
      </c>
      <c r="H135" s="2" t="s">
        <v>1411</v>
      </c>
      <c r="I135" s="3" t="s">
        <v>29</v>
      </c>
      <c r="J135" s="3" t="s">
        <v>1412</v>
      </c>
      <c r="K135" s="3" t="s">
        <v>47</v>
      </c>
      <c r="L135" s="3" t="s">
        <v>61</v>
      </c>
      <c r="M135" s="3" t="s">
        <v>1413</v>
      </c>
      <c r="N135" s="3" t="s">
        <v>1414</v>
      </c>
      <c r="O135" s="3" t="s">
        <v>1415</v>
      </c>
      <c r="P135" s="3" t="s">
        <v>1416</v>
      </c>
      <c r="Q135" s="3" t="s">
        <v>1417</v>
      </c>
      <c r="R135" s="3" t="s">
        <v>1417</v>
      </c>
      <c r="S135" s="2" t="s">
        <v>38</v>
      </c>
      <c r="T135" s="2" t="s">
        <v>39</v>
      </c>
      <c r="U135" s="2" t="s">
        <v>40</v>
      </c>
      <c r="V135" s="3"/>
    </row>
    <row r="136" spans="1:22">
      <c r="A136" s="2">
        <v>135</v>
      </c>
      <c r="B136" s="3" t="s">
        <v>1076</v>
      </c>
      <c r="C136" s="3" t="s">
        <v>1418</v>
      </c>
      <c r="D136" s="3" t="s">
        <v>1419</v>
      </c>
      <c r="E136" s="2" t="s">
        <v>116</v>
      </c>
      <c r="F136" s="2" t="s">
        <v>26</v>
      </c>
      <c r="G136" s="3" t="s">
        <v>1420</v>
      </c>
      <c r="H136" s="2" t="s">
        <v>1421</v>
      </c>
      <c r="I136" s="3" t="s">
        <v>29</v>
      </c>
      <c r="J136" s="3" t="s">
        <v>1422</v>
      </c>
      <c r="K136" s="3" t="s">
        <v>47</v>
      </c>
      <c r="L136" s="3" t="s">
        <v>323</v>
      </c>
      <c r="M136" s="3" t="s">
        <v>1423</v>
      </c>
      <c r="N136" s="3" t="s">
        <v>1424</v>
      </c>
      <c r="O136" s="3" t="s">
        <v>1425</v>
      </c>
      <c r="P136" s="3" t="s">
        <v>1426</v>
      </c>
      <c r="Q136" s="3" t="s">
        <v>1427</v>
      </c>
      <c r="R136" s="3" t="s">
        <v>1427</v>
      </c>
      <c r="S136" s="2" t="s">
        <v>38</v>
      </c>
      <c r="T136" s="2" t="s">
        <v>39</v>
      </c>
      <c r="U136" s="2" t="s">
        <v>40</v>
      </c>
      <c r="V136" s="3"/>
    </row>
    <row r="137" spans="1:22">
      <c r="A137" s="2">
        <v>136</v>
      </c>
      <c r="B137" s="3" t="s">
        <v>1076</v>
      </c>
      <c r="C137" s="3" t="s">
        <v>1428</v>
      </c>
      <c r="D137" s="3" t="s">
        <v>1429</v>
      </c>
      <c r="E137" s="2" t="s">
        <v>69</v>
      </c>
      <c r="F137" s="2" t="s">
        <v>43</v>
      </c>
      <c r="G137" s="3" t="s">
        <v>1430</v>
      </c>
      <c r="H137" s="2" t="s">
        <v>1431</v>
      </c>
      <c r="I137" s="3" t="s">
        <v>29</v>
      </c>
      <c r="J137" s="3" t="s">
        <v>1432</v>
      </c>
      <c r="K137" s="3" t="s">
        <v>120</v>
      </c>
      <c r="L137" s="3" t="s">
        <v>156</v>
      </c>
      <c r="M137" s="3" t="s">
        <v>1433</v>
      </c>
      <c r="N137" s="3" t="s">
        <v>1434</v>
      </c>
      <c r="O137" s="3" t="s">
        <v>1435</v>
      </c>
      <c r="P137" s="3" t="s">
        <v>1436</v>
      </c>
      <c r="Q137" s="3" t="s">
        <v>1437</v>
      </c>
      <c r="R137" s="3" t="s">
        <v>1437</v>
      </c>
      <c r="S137" s="2" t="s">
        <v>38</v>
      </c>
      <c r="T137" s="2" t="s">
        <v>39</v>
      </c>
      <c r="U137" s="2" t="s">
        <v>40</v>
      </c>
      <c r="V137" s="3"/>
    </row>
    <row r="138" spans="1:22">
      <c r="A138" s="2">
        <v>137</v>
      </c>
      <c r="B138" s="3" t="s">
        <v>1076</v>
      </c>
      <c r="C138" s="3" t="s">
        <v>1438</v>
      </c>
      <c r="D138" s="3" t="s">
        <v>1439</v>
      </c>
      <c r="E138" s="2" t="s">
        <v>103</v>
      </c>
      <c r="F138" s="2" t="s">
        <v>43</v>
      </c>
      <c r="G138" s="3" t="s">
        <v>1440</v>
      </c>
      <c r="H138" s="2" t="s">
        <v>1441</v>
      </c>
      <c r="I138" s="3" t="s">
        <v>29</v>
      </c>
      <c r="J138" s="3" t="s">
        <v>1442</v>
      </c>
      <c r="K138" s="3" t="s">
        <v>272</v>
      </c>
      <c r="L138" s="3" t="s">
        <v>603</v>
      </c>
      <c r="M138" s="3" t="s">
        <v>1443</v>
      </c>
      <c r="N138" s="3" t="s">
        <v>1444</v>
      </c>
      <c r="O138" s="3" t="s">
        <v>1445</v>
      </c>
      <c r="P138" s="3" t="s">
        <v>1446</v>
      </c>
      <c r="Q138" s="3" t="s">
        <v>1447</v>
      </c>
      <c r="R138" s="3" t="s">
        <v>1447</v>
      </c>
      <c r="S138" s="2" t="s">
        <v>38</v>
      </c>
      <c r="T138" s="2" t="s">
        <v>39</v>
      </c>
      <c r="U138" s="2" t="s">
        <v>40</v>
      </c>
      <c r="V138" s="3"/>
    </row>
    <row r="139" spans="1:22">
      <c r="A139" s="2">
        <v>138</v>
      </c>
      <c r="B139" s="3" t="s">
        <v>1076</v>
      </c>
      <c r="C139" s="3" t="s">
        <v>1448</v>
      </c>
      <c r="D139" s="3" t="s">
        <v>1449</v>
      </c>
      <c r="E139" s="2" t="s">
        <v>206</v>
      </c>
      <c r="F139" s="2" t="s">
        <v>26</v>
      </c>
      <c r="G139" s="3" t="s">
        <v>1450</v>
      </c>
      <c r="H139" s="2" t="s">
        <v>1451</v>
      </c>
      <c r="I139" s="3" t="s">
        <v>29</v>
      </c>
      <c r="J139" s="3" t="s">
        <v>1452</v>
      </c>
      <c r="K139" s="3" t="s">
        <v>47</v>
      </c>
      <c r="L139" s="3" t="s">
        <v>132</v>
      </c>
      <c r="M139" s="3" t="s">
        <v>1453</v>
      </c>
      <c r="N139" s="3" t="s">
        <v>1454</v>
      </c>
      <c r="O139" s="3" t="s">
        <v>1455</v>
      </c>
      <c r="P139" s="3" t="s">
        <v>1456</v>
      </c>
      <c r="Q139" s="3" t="s">
        <v>1457</v>
      </c>
      <c r="R139" s="3" t="s">
        <v>1457</v>
      </c>
      <c r="S139" s="2" t="s">
        <v>38</v>
      </c>
      <c r="T139" s="2" t="s">
        <v>39</v>
      </c>
      <c r="U139" s="2" t="s">
        <v>40</v>
      </c>
      <c r="V139" s="3"/>
    </row>
    <row r="140" spans="1:22">
      <c r="A140" s="2">
        <v>139</v>
      </c>
      <c r="B140" s="3" t="s">
        <v>1076</v>
      </c>
      <c r="C140" s="3" t="s">
        <v>1458</v>
      </c>
      <c r="D140" s="3" t="s">
        <v>1459</v>
      </c>
      <c r="E140" s="2" t="s">
        <v>415</v>
      </c>
      <c r="F140" s="2" t="s">
        <v>26</v>
      </c>
      <c r="G140" s="3" t="s">
        <v>1460</v>
      </c>
      <c r="H140" s="2" t="s">
        <v>1461</v>
      </c>
      <c r="I140" s="3" t="s">
        <v>29</v>
      </c>
      <c r="J140" s="3" t="s">
        <v>1462</v>
      </c>
      <c r="K140" s="3" t="s">
        <v>47</v>
      </c>
      <c r="L140" s="3" t="s">
        <v>132</v>
      </c>
      <c r="M140" s="3" t="s">
        <v>1463</v>
      </c>
      <c r="N140" s="3" t="s">
        <v>1464</v>
      </c>
      <c r="O140" s="3" t="s">
        <v>1465</v>
      </c>
      <c r="P140" s="3" t="s">
        <v>1466</v>
      </c>
      <c r="Q140" s="3" t="s">
        <v>1467</v>
      </c>
      <c r="R140" s="3" t="s">
        <v>1467</v>
      </c>
      <c r="S140" s="2" t="s">
        <v>38</v>
      </c>
      <c r="T140" s="2" t="s">
        <v>39</v>
      </c>
      <c r="U140" s="2" t="s">
        <v>40</v>
      </c>
      <c r="V140" s="3"/>
    </row>
    <row r="141" spans="1:22">
      <c r="A141" s="2">
        <v>140</v>
      </c>
      <c r="B141" s="3" t="s">
        <v>1076</v>
      </c>
      <c r="C141" s="3" t="s">
        <v>1468</v>
      </c>
      <c r="D141" s="3" t="s">
        <v>1469</v>
      </c>
      <c r="E141" s="2" t="s">
        <v>81</v>
      </c>
      <c r="F141" s="2" t="s">
        <v>26</v>
      </c>
      <c r="G141" s="3" t="s">
        <v>1470</v>
      </c>
      <c r="H141" s="2" t="s">
        <v>1471</v>
      </c>
      <c r="I141" s="3" t="s">
        <v>29</v>
      </c>
      <c r="J141" s="3" t="s">
        <v>1472</v>
      </c>
      <c r="K141" s="3" t="s">
        <v>47</v>
      </c>
      <c r="L141" s="3" t="s">
        <v>167</v>
      </c>
      <c r="M141" s="3" t="s">
        <v>1473</v>
      </c>
      <c r="N141" s="3" t="s">
        <v>1474</v>
      </c>
      <c r="O141" s="3" t="s">
        <v>1475</v>
      </c>
      <c r="P141" s="3" t="s">
        <v>1476</v>
      </c>
      <c r="Q141" s="3" t="s">
        <v>1477</v>
      </c>
      <c r="R141" s="3" t="s">
        <v>1477</v>
      </c>
      <c r="S141" s="2" t="s">
        <v>38</v>
      </c>
      <c r="T141" s="2" t="s">
        <v>39</v>
      </c>
      <c r="U141" s="2" t="s">
        <v>40</v>
      </c>
      <c r="V141" s="3"/>
    </row>
    <row r="142" spans="1:22">
      <c r="A142" s="2">
        <v>141</v>
      </c>
      <c r="B142" s="3" t="s">
        <v>1076</v>
      </c>
      <c r="C142" s="3" t="s">
        <v>1478</v>
      </c>
      <c r="D142" s="3" t="s">
        <v>1479</v>
      </c>
      <c r="E142" s="2" t="s">
        <v>69</v>
      </c>
      <c r="F142" s="2" t="s">
        <v>43</v>
      </c>
      <c r="G142" s="3" t="s">
        <v>1480</v>
      </c>
      <c r="H142" s="2" t="s">
        <v>1481</v>
      </c>
      <c r="I142" s="3" t="s">
        <v>29</v>
      </c>
      <c r="J142" s="3" t="s">
        <v>1482</v>
      </c>
      <c r="K142" s="3" t="s">
        <v>120</v>
      </c>
      <c r="L142" s="3" t="s">
        <v>32</v>
      </c>
      <c r="M142" s="3" t="s">
        <v>1483</v>
      </c>
      <c r="N142" s="3" t="s">
        <v>1484</v>
      </c>
      <c r="O142" s="3" t="s">
        <v>1485</v>
      </c>
      <c r="P142" s="3" t="s">
        <v>1486</v>
      </c>
      <c r="Q142" s="3" t="s">
        <v>1487</v>
      </c>
      <c r="R142" s="3" t="s">
        <v>1487</v>
      </c>
      <c r="S142" s="2" t="s">
        <v>38</v>
      </c>
      <c r="T142" s="2" t="s">
        <v>39</v>
      </c>
      <c r="U142" s="2" t="s">
        <v>40</v>
      </c>
      <c r="V142" s="3"/>
    </row>
    <row r="143" spans="1:22">
      <c r="A143" s="2">
        <v>142</v>
      </c>
      <c r="B143" s="3" t="s">
        <v>1076</v>
      </c>
      <c r="C143" s="3" t="s">
        <v>1488</v>
      </c>
      <c r="D143" s="3" t="s">
        <v>1489</v>
      </c>
      <c r="E143" s="2" t="s">
        <v>81</v>
      </c>
      <c r="F143" s="2" t="s">
        <v>26</v>
      </c>
      <c r="G143" s="3" t="s">
        <v>1490</v>
      </c>
      <c r="H143" s="2" t="s">
        <v>1491</v>
      </c>
      <c r="I143" s="3" t="s">
        <v>29</v>
      </c>
      <c r="J143" s="3" t="s">
        <v>1492</v>
      </c>
      <c r="K143" s="3" t="s">
        <v>47</v>
      </c>
      <c r="L143" s="3" t="s">
        <v>108</v>
      </c>
      <c r="M143" s="3" t="s">
        <v>1493</v>
      </c>
      <c r="N143" s="3" t="s">
        <v>1494</v>
      </c>
      <c r="O143" s="3" t="s">
        <v>1495</v>
      </c>
      <c r="P143" s="3" t="s">
        <v>1496</v>
      </c>
      <c r="Q143" s="3" t="s">
        <v>1497</v>
      </c>
      <c r="R143" s="3" t="s">
        <v>1497</v>
      </c>
      <c r="S143" s="2" t="s">
        <v>38</v>
      </c>
      <c r="T143" s="2" t="s">
        <v>39</v>
      </c>
      <c r="U143" s="2" t="s">
        <v>40</v>
      </c>
      <c r="V143" s="3"/>
    </row>
    <row r="144" spans="1:22">
      <c r="A144" s="2">
        <v>143</v>
      </c>
      <c r="B144" s="3" t="s">
        <v>1076</v>
      </c>
      <c r="C144" s="3" t="s">
        <v>1498</v>
      </c>
      <c r="D144" s="3" t="s">
        <v>1499</v>
      </c>
      <c r="E144" s="2" t="s">
        <v>621</v>
      </c>
      <c r="F144" s="2" t="s">
        <v>43</v>
      </c>
      <c r="G144" s="3" t="s">
        <v>1500</v>
      </c>
      <c r="H144" s="2" t="s">
        <v>1501</v>
      </c>
      <c r="I144" s="3" t="s">
        <v>29</v>
      </c>
      <c r="J144" s="3" t="s">
        <v>1502</v>
      </c>
      <c r="K144" s="3" t="s">
        <v>107</v>
      </c>
      <c r="L144" s="3" t="s">
        <v>32</v>
      </c>
      <c r="M144" s="3" t="s">
        <v>1503</v>
      </c>
      <c r="N144" s="3" t="s">
        <v>1504</v>
      </c>
      <c r="O144" s="3" t="s">
        <v>1505</v>
      </c>
      <c r="P144" s="3" t="s">
        <v>1506</v>
      </c>
      <c r="Q144" s="3" t="s">
        <v>1507</v>
      </c>
      <c r="R144" s="3" t="s">
        <v>1507</v>
      </c>
      <c r="S144" s="2" t="s">
        <v>38</v>
      </c>
      <c r="T144" s="2" t="s">
        <v>39</v>
      </c>
      <c r="U144" s="2" t="s">
        <v>40</v>
      </c>
      <c r="V144" s="3"/>
    </row>
    <row r="145" spans="1:22">
      <c r="A145" s="2">
        <v>144</v>
      </c>
      <c r="B145" s="3" t="s">
        <v>1076</v>
      </c>
      <c r="C145" s="3" t="s">
        <v>1508</v>
      </c>
      <c r="D145" s="3" t="s">
        <v>1509</v>
      </c>
      <c r="E145" s="2" t="s">
        <v>103</v>
      </c>
      <c r="F145" s="2" t="s">
        <v>43</v>
      </c>
      <c r="G145" s="3" t="s">
        <v>1510</v>
      </c>
      <c r="H145" s="2" t="s">
        <v>1511</v>
      </c>
      <c r="I145" s="3" t="s">
        <v>29</v>
      </c>
      <c r="J145" s="3" t="s">
        <v>1512</v>
      </c>
      <c r="K145" s="3" t="s">
        <v>47</v>
      </c>
      <c r="L145" s="3" t="s">
        <v>989</v>
      </c>
      <c r="M145" s="3" t="s">
        <v>1513</v>
      </c>
      <c r="N145" s="3" t="s">
        <v>1514</v>
      </c>
      <c r="O145" s="3" t="s">
        <v>1515</v>
      </c>
      <c r="P145" s="3" t="s">
        <v>1516</v>
      </c>
      <c r="Q145" s="3" t="s">
        <v>1517</v>
      </c>
      <c r="R145" s="3" t="s">
        <v>1517</v>
      </c>
      <c r="S145" s="2" t="s">
        <v>38</v>
      </c>
      <c r="T145" s="2" t="s">
        <v>39</v>
      </c>
      <c r="U145" s="2" t="s">
        <v>40</v>
      </c>
      <c r="V145" s="3"/>
    </row>
    <row r="146" spans="1:22">
      <c r="A146" s="2">
        <v>145</v>
      </c>
      <c r="B146" s="3" t="s">
        <v>1076</v>
      </c>
      <c r="C146" s="3" t="s">
        <v>1518</v>
      </c>
      <c r="D146" s="3" t="s">
        <v>1519</v>
      </c>
      <c r="E146" s="2" t="s">
        <v>69</v>
      </c>
      <c r="F146" s="2" t="s">
        <v>26</v>
      </c>
      <c r="G146" s="3" t="s">
        <v>1520</v>
      </c>
      <c r="H146" s="2" t="s">
        <v>1521</v>
      </c>
      <c r="I146" s="3" t="s">
        <v>29</v>
      </c>
      <c r="J146" s="3" t="s">
        <v>1522</v>
      </c>
      <c r="K146" s="3" t="s">
        <v>47</v>
      </c>
      <c r="L146" s="3" t="s">
        <v>132</v>
      </c>
      <c r="M146" s="3" t="s">
        <v>1523</v>
      </c>
      <c r="N146" s="3" t="s">
        <v>1524</v>
      </c>
      <c r="O146" s="3" t="s">
        <v>1525</v>
      </c>
      <c r="P146" s="3" t="s">
        <v>1526</v>
      </c>
      <c r="Q146" s="3" t="s">
        <v>1527</v>
      </c>
      <c r="R146" s="3" t="s">
        <v>1527</v>
      </c>
      <c r="S146" s="2" t="s">
        <v>38</v>
      </c>
      <c r="T146" s="2" t="s">
        <v>39</v>
      </c>
      <c r="U146" s="2" t="s">
        <v>40</v>
      </c>
      <c r="V146" s="3"/>
    </row>
    <row r="147" spans="1:22">
      <c r="A147" s="2">
        <v>146</v>
      </c>
      <c r="B147" s="3" t="s">
        <v>1076</v>
      </c>
      <c r="C147" s="3" t="s">
        <v>1528</v>
      </c>
      <c r="D147" s="3" t="s">
        <v>1529</v>
      </c>
      <c r="E147" s="2" t="s">
        <v>351</v>
      </c>
      <c r="F147" s="2" t="s">
        <v>26</v>
      </c>
      <c r="G147" s="3" t="s">
        <v>1530</v>
      </c>
      <c r="H147" s="2" t="s">
        <v>1531</v>
      </c>
      <c r="I147" s="3" t="s">
        <v>29</v>
      </c>
      <c r="J147" s="3" t="s">
        <v>1532</v>
      </c>
      <c r="K147" s="3" t="s">
        <v>107</v>
      </c>
      <c r="L147" s="3" t="s">
        <v>32</v>
      </c>
      <c r="M147" s="3" t="s">
        <v>1533</v>
      </c>
      <c r="N147" s="3" t="s">
        <v>1534</v>
      </c>
      <c r="O147" s="3" t="s">
        <v>1535</v>
      </c>
      <c r="P147" s="3" t="s">
        <v>1536</v>
      </c>
      <c r="Q147" s="3" t="s">
        <v>1537</v>
      </c>
      <c r="R147" s="3" t="s">
        <v>1537</v>
      </c>
      <c r="S147" s="2" t="s">
        <v>38</v>
      </c>
      <c r="T147" s="2" t="s">
        <v>39</v>
      </c>
      <c r="U147" s="2" t="s">
        <v>40</v>
      </c>
      <c r="V147" s="3"/>
    </row>
    <row r="148" spans="1:22">
      <c r="A148" s="2">
        <v>147</v>
      </c>
      <c r="B148" s="3" t="s">
        <v>1076</v>
      </c>
      <c r="C148" s="3" t="s">
        <v>1538</v>
      </c>
      <c r="D148" s="3" t="s">
        <v>1539</v>
      </c>
      <c r="E148" s="2" t="s">
        <v>116</v>
      </c>
      <c r="F148" s="2" t="s">
        <v>26</v>
      </c>
      <c r="G148" s="3" t="s">
        <v>1540</v>
      </c>
      <c r="H148" s="2" t="s">
        <v>1541</v>
      </c>
      <c r="I148" s="3" t="s">
        <v>29</v>
      </c>
      <c r="J148" s="3" t="s">
        <v>1542</v>
      </c>
      <c r="K148" s="3" t="s">
        <v>261</v>
      </c>
      <c r="L148" s="3" t="s">
        <v>32</v>
      </c>
      <c r="M148" s="3" t="s">
        <v>1543</v>
      </c>
      <c r="N148" s="3" t="s">
        <v>1544</v>
      </c>
      <c r="O148" s="3" t="s">
        <v>1545</v>
      </c>
      <c r="P148" s="3" t="s">
        <v>1546</v>
      </c>
      <c r="Q148" s="3" t="s">
        <v>1547</v>
      </c>
      <c r="R148" s="3" t="s">
        <v>1547</v>
      </c>
      <c r="S148" s="2" t="s">
        <v>38</v>
      </c>
      <c r="T148" s="2" t="s">
        <v>39</v>
      </c>
      <c r="U148" s="2" t="s">
        <v>40</v>
      </c>
      <c r="V148" s="3"/>
    </row>
    <row r="149" spans="1:22">
      <c r="A149" s="2">
        <v>148</v>
      </c>
      <c r="B149" s="3" t="s">
        <v>1076</v>
      </c>
      <c r="C149" s="3" t="s">
        <v>1548</v>
      </c>
      <c r="D149" s="3" t="s">
        <v>1549</v>
      </c>
      <c r="E149" s="2" t="s">
        <v>116</v>
      </c>
      <c r="F149" s="2" t="s">
        <v>26</v>
      </c>
      <c r="G149" s="3" t="s">
        <v>1550</v>
      </c>
      <c r="H149" s="2" t="s">
        <v>1551</v>
      </c>
      <c r="I149" s="3" t="s">
        <v>29</v>
      </c>
      <c r="J149" s="3" t="s">
        <v>1552</v>
      </c>
      <c r="K149" s="3" t="s">
        <v>107</v>
      </c>
      <c r="L149" s="3" t="s">
        <v>167</v>
      </c>
      <c r="M149" s="3" t="s">
        <v>1553</v>
      </c>
      <c r="N149" s="3" t="s">
        <v>1554</v>
      </c>
      <c r="O149" s="3" t="s">
        <v>1555</v>
      </c>
      <c r="P149" s="3" t="s">
        <v>1556</v>
      </c>
      <c r="Q149" s="3" t="s">
        <v>1557</v>
      </c>
      <c r="R149" s="3" t="s">
        <v>1557</v>
      </c>
      <c r="S149" s="2" t="s">
        <v>38</v>
      </c>
      <c r="T149" s="2" t="s">
        <v>39</v>
      </c>
      <c r="U149" s="2" t="s">
        <v>40</v>
      </c>
      <c r="V149" s="3"/>
    </row>
    <row r="150" spans="1:22">
      <c r="A150" s="2">
        <v>149</v>
      </c>
      <c r="B150" s="3" t="s">
        <v>1076</v>
      </c>
      <c r="C150" s="3" t="s">
        <v>1558</v>
      </c>
      <c r="D150" s="3" t="s">
        <v>1559</v>
      </c>
      <c r="E150" s="2" t="s">
        <v>383</v>
      </c>
      <c r="F150" s="2" t="s">
        <v>26</v>
      </c>
      <c r="G150" s="3" t="s">
        <v>1560</v>
      </c>
      <c r="H150" s="2" t="s">
        <v>1561</v>
      </c>
      <c r="I150" s="3" t="s">
        <v>29</v>
      </c>
      <c r="J150" s="3" t="s">
        <v>1562</v>
      </c>
      <c r="K150" s="3" t="s">
        <v>120</v>
      </c>
      <c r="L150" s="3" t="s">
        <v>323</v>
      </c>
      <c r="M150" s="3" t="s">
        <v>1563</v>
      </c>
      <c r="N150" s="3" t="s">
        <v>1564</v>
      </c>
      <c r="O150" s="3" t="s">
        <v>1565</v>
      </c>
      <c r="P150" s="3" t="s">
        <v>1566</v>
      </c>
      <c r="Q150" s="3" t="s">
        <v>1567</v>
      </c>
      <c r="R150" s="3" t="s">
        <v>1567</v>
      </c>
      <c r="S150" s="2" t="s">
        <v>38</v>
      </c>
      <c r="T150" s="2" t="s">
        <v>39</v>
      </c>
      <c r="U150" s="2" t="s">
        <v>40</v>
      </c>
      <c r="V150" s="3"/>
    </row>
    <row r="151" spans="1:22">
      <c r="A151" s="2">
        <v>150</v>
      </c>
      <c r="B151" s="3" t="s">
        <v>1076</v>
      </c>
      <c r="C151" s="3" t="s">
        <v>1568</v>
      </c>
      <c r="D151" s="3" t="s">
        <v>1569</v>
      </c>
      <c r="E151" s="2" t="s">
        <v>206</v>
      </c>
      <c r="F151" s="2" t="s">
        <v>26</v>
      </c>
      <c r="G151" s="3" t="s">
        <v>1570</v>
      </c>
      <c r="H151" s="2" t="s">
        <v>1571</v>
      </c>
      <c r="I151" s="3" t="s">
        <v>29</v>
      </c>
      <c r="J151" s="3" t="s">
        <v>1572</v>
      </c>
      <c r="K151" s="3" t="s">
        <v>47</v>
      </c>
      <c r="L151" s="3" t="s">
        <v>132</v>
      </c>
      <c r="M151" s="3" t="s">
        <v>1573</v>
      </c>
      <c r="N151" s="3" t="s">
        <v>1574</v>
      </c>
      <c r="O151" s="3" t="s">
        <v>1575</v>
      </c>
      <c r="P151" s="3" t="s">
        <v>1576</v>
      </c>
      <c r="Q151" s="3" t="s">
        <v>1577</v>
      </c>
      <c r="R151" s="3" t="s">
        <v>1577</v>
      </c>
      <c r="S151" s="2" t="s">
        <v>38</v>
      </c>
      <c r="T151" s="2" t="s">
        <v>39</v>
      </c>
      <c r="U151" s="2" t="s">
        <v>40</v>
      </c>
      <c r="V151" s="3"/>
    </row>
    <row r="152" spans="1:22">
      <c r="A152" s="2">
        <v>151</v>
      </c>
      <c r="B152" s="3" t="s">
        <v>1578</v>
      </c>
      <c r="C152" s="3" t="s">
        <v>1579</v>
      </c>
      <c r="D152" s="3" t="s">
        <v>1580</v>
      </c>
      <c r="E152" s="2" t="s">
        <v>56</v>
      </c>
      <c r="F152" s="2" t="s">
        <v>26</v>
      </c>
      <c r="G152" s="3" t="s">
        <v>1581</v>
      </c>
      <c r="H152" s="2" t="s">
        <v>1582</v>
      </c>
      <c r="I152" s="3" t="s">
        <v>29</v>
      </c>
      <c r="J152" s="3" t="s">
        <v>1583</v>
      </c>
      <c r="K152" s="3" t="s">
        <v>120</v>
      </c>
      <c r="L152" s="3" t="s">
        <v>167</v>
      </c>
      <c r="M152" s="3" t="s">
        <v>1584</v>
      </c>
      <c r="N152" s="3" t="s">
        <v>1585</v>
      </c>
      <c r="O152" s="3" t="s">
        <v>1586</v>
      </c>
      <c r="P152" s="3" t="s">
        <v>1587</v>
      </c>
      <c r="Q152" s="3" t="s">
        <v>1588</v>
      </c>
      <c r="R152" s="3" t="s">
        <v>1588</v>
      </c>
      <c r="S152" s="2" t="s">
        <v>38</v>
      </c>
      <c r="T152" s="2" t="s">
        <v>39</v>
      </c>
      <c r="U152" s="2" t="s">
        <v>40</v>
      </c>
      <c r="V152" s="3"/>
    </row>
    <row r="153" spans="1:22">
      <c r="A153" s="2">
        <v>152</v>
      </c>
      <c r="B153" s="3" t="s">
        <v>1578</v>
      </c>
      <c r="C153" s="3" t="s">
        <v>1589</v>
      </c>
      <c r="D153" s="3" t="s">
        <v>1590</v>
      </c>
      <c r="E153" s="2" t="s">
        <v>69</v>
      </c>
      <c r="F153" s="2" t="s">
        <v>26</v>
      </c>
      <c r="G153" s="3" t="s">
        <v>1591</v>
      </c>
      <c r="H153" s="2" t="s">
        <v>1592</v>
      </c>
      <c r="I153" s="3" t="s">
        <v>29</v>
      </c>
      <c r="J153" s="3" t="s">
        <v>1593</v>
      </c>
      <c r="K153" s="3" t="s">
        <v>47</v>
      </c>
      <c r="L153" s="3" t="s">
        <v>167</v>
      </c>
      <c r="M153" s="3" t="s">
        <v>1594</v>
      </c>
      <c r="N153" s="3" t="s">
        <v>1595</v>
      </c>
      <c r="O153" s="3" t="s">
        <v>1596</v>
      </c>
      <c r="P153" s="3" t="s">
        <v>1597</v>
      </c>
      <c r="Q153" s="3" t="s">
        <v>1598</v>
      </c>
      <c r="R153" s="3" t="s">
        <v>1598</v>
      </c>
      <c r="S153" s="2" t="s">
        <v>38</v>
      </c>
      <c r="T153" s="2" t="s">
        <v>39</v>
      </c>
      <c r="U153" s="2" t="s">
        <v>40</v>
      </c>
      <c r="V153" s="3"/>
    </row>
    <row r="154" spans="1:22">
      <c r="A154" s="2">
        <v>153</v>
      </c>
      <c r="B154" s="3" t="s">
        <v>1578</v>
      </c>
      <c r="C154" s="3" t="s">
        <v>1599</v>
      </c>
      <c r="D154" s="3" t="s">
        <v>1600</v>
      </c>
      <c r="E154" s="2" t="s">
        <v>257</v>
      </c>
      <c r="F154" s="2" t="s">
        <v>43</v>
      </c>
      <c r="G154" s="3" t="s">
        <v>1601</v>
      </c>
      <c r="H154" s="2" t="s">
        <v>1602</v>
      </c>
      <c r="I154" s="3" t="s">
        <v>29</v>
      </c>
      <c r="J154" s="3" t="s">
        <v>1603</v>
      </c>
      <c r="K154" s="3" t="s">
        <v>47</v>
      </c>
      <c r="L154" s="3" t="s">
        <v>108</v>
      </c>
      <c r="M154" s="3" t="s">
        <v>1604</v>
      </c>
      <c r="N154" s="3" t="s">
        <v>1605</v>
      </c>
      <c r="O154" s="3" t="s">
        <v>1606</v>
      </c>
      <c r="P154" s="3" t="s">
        <v>1607</v>
      </c>
      <c r="Q154" s="3" t="s">
        <v>1608</v>
      </c>
      <c r="R154" s="3" t="s">
        <v>1608</v>
      </c>
      <c r="S154" s="2" t="s">
        <v>38</v>
      </c>
      <c r="T154" s="2" t="s">
        <v>39</v>
      </c>
      <c r="U154" s="2" t="s">
        <v>40</v>
      </c>
      <c r="V154" s="3"/>
    </row>
    <row r="155" spans="1:22">
      <c r="A155" s="2">
        <v>154</v>
      </c>
      <c r="B155" s="3" t="s">
        <v>1578</v>
      </c>
      <c r="C155" s="3" t="s">
        <v>1609</v>
      </c>
      <c r="D155" s="3" t="s">
        <v>1610</v>
      </c>
      <c r="E155" s="2" t="s">
        <v>25</v>
      </c>
      <c r="F155" s="2" t="s">
        <v>26</v>
      </c>
      <c r="G155" s="3" t="s">
        <v>1611</v>
      </c>
      <c r="H155" s="2" t="s">
        <v>1612</v>
      </c>
      <c r="I155" s="3" t="s">
        <v>29</v>
      </c>
      <c r="J155" s="3" t="s">
        <v>1613</v>
      </c>
      <c r="K155" s="3" t="s">
        <v>47</v>
      </c>
      <c r="L155" s="3" t="s">
        <v>132</v>
      </c>
      <c r="M155" s="3" t="s">
        <v>1614</v>
      </c>
      <c r="N155" s="3" t="s">
        <v>1615</v>
      </c>
      <c r="O155" s="3" t="s">
        <v>1616</v>
      </c>
      <c r="P155" s="3" t="s">
        <v>1617</v>
      </c>
      <c r="Q155" s="3" t="s">
        <v>1618</v>
      </c>
      <c r="R155" s="3" t="s">
        <v>1618</v>
      </c>
      <c r="S155" s="2" t="s">
        <v>38</v>
      </c>
      <c r="T155" s="2" t="s">
        <v>39</v>
      </c>
      <c r="U155" s="2" t="s">
        <v>40</v>
      </c>
      <c r="V155" s="3"/>
    </row>
    <row r="156" spans="1:22">
      <c r="A156" s="2">
        <v>155</v>
      </c>
      <c r="B156" s="3" t="s">
        <v>1578</v>
      </c>
      <c r="C156" s="3" t="s">
        <v>1619</v>
      </c>
      <c r="D156" s="3" t="s">
        <v>1620</v>
      </c>
      <c r="E156" s="2" t="s">
        <v>81</v>
      </c>
      <c r="F156" s="2" t="s">
        <v>26</v>
      </c>
      <c r="G156" s="3" t="s">
        <v>1621</v>
      </c>
      <c r="H156" s="2" t="s">
        <v>1622</v>
      </c>
      <c r="I156" s="3" t="s">
        <v>29</v>
      </c>
      <c r="J156" s="3" t="s">
        <v>1623</v>
      </c>
      <c r="K156" s="3" t="s">
        <v>120</v>
      </c>
      <c r="L156" s="3" t="s">
        <v>32</v>
      </c>
      <c r="M156" s="3" t="s">
        <v>1624</v>
      </c>
      <c r="N156" s="3" t="s">
        <v>1625</v>
      </c>
      <c r="O156" s="3" t="s">
        <v>1626</v>
      </c>
      <c r="P156" s="3" t="s">
        <v>1627</v>
      </c>
      <c r="Q156" s="3" t="s">
        <v>1628</v>
      </c>
      <c r="R156" s="3" t="s">
        <v>1628</v>
      </c>
      <c r="S156" s="2" t="s">
        <v>38</v>
      </c>
      <c r="T156" s="2" t="s">
        <v>39</v>
      </c>
      <c r="U156" s="2" t="s">
        <v>40</v>
      </c>
      <c r="V156" s="3"/>
    </row>
    <row r="157" spans="1:22">
      <c r="A157" s="2">
        <v>156</v>
      </c>
      <c r="B157" s="3" t="s">
        <v>1578</v>
      </c>
      <c r="C157" s="3" t="s">
        <v>1629</v>
      </c>
      <c r="D157" s="3" t="s">
        <v>1630</v>
      </c>
      <c r="E157" s="2" t="s">
        <v>81</v>
      </c>
      <c r="F157" s="2" t="s">
        <v>43</v>
      </c>
      <c r="G157" s="3" t="s">
        <v>1631</v>
      </c>
      <c r="H157" s="2" t="s">
        <v>1632</v>
      </c>
      <c r="I157" s="3" t="s">
        <v>29</v>
      </c>
      <c r="J157" s="3" t="s">
        <v>1633</v>
      </c>
      <c r="K157" s="3" t="s">
        <v>272</v>
      </c>
      <c r="L157" s="3" t="s">
        <v>989</v>
      </c>
      <c r="M157" s="3" t="s">
        <v>1634</v>
      </c>
      <c r="N157" s="3" t="s">
        <v>1635</v>
      </c>
      <c r="O157" s="3" t="s">
        <v>1636</v>
      </c>
      <c r="P157" s="3" t="s">
        <v>1637</v>
      </c>
      <c r="Q157" s="3" t="s">
        <v>1638</v>
      </c>
      <c r="R157" s="3" t="s">
        <v>1638</v>
      </c>
      <c r="S157" s="2" t="s">
        <v>38</v>
      </c>
      <c r="T157" s="2" t="s">
        <v>39</v>
      </c>
      <c r="U157" s="2" t="s">
        <v>40</v>
      </c>
      <c r="V157" s="3"/>
    </row>
    <row r="158" spans="1:22">
      <c r="A158" s="2">
        <v>157</v>
      </c>
      <c r="B158" s="3" t="s">
        <v>1578</v>
      </c>
      <c r="C158" s="3" t="s">
        <v>1639</v>
      </c>
      <c r="D158" s="3" t="s">
        <v>1640</v>
      </c>
      <c r="E158" s="2" t="s">
        <v>913</v>
      </c>
      <c r="F158" s="2" t="s">
        <v>26</v>
      </c>
      <c r="G158" s="3" t="s">
        <v>1641</v>
      </c>
      <c r="H158" s="2" t="s">
        <v>1642</v>
      </c>
      <c r="I158" s="3" t="s">
        <v>29</v>
      </c>
      <c r="J158" s="3" t="s">
        <v>1643</v>
      </c>
      <c r="K158" s="3" t="s">
        <v>47</v>
      </c>
      <c r="L158" s="3" t="s">
        <v>132</v>
      </c>
      <c r="M158" s="3" t="s">
        <v>1644</v>
      </c>
      <c r="N158" s="3" t="s">
        <v>1645</v>
      </c>
      <c r="O158" s="3" t="s">
        <v>1646</v>
      </c>
      <c r="P158" s="3" t="s">
        <v>1647</v>
      </c>
      <c r="Q158" s="3" t="s">
        <v>1648</v>
      </c>
      <c r="R158" s="3" t="s">
        <v>1648</v>
      </c>
      <c r="S158" s="2" t="s">
        <v>38</v>
      </c>
      <c r="T158" s="2" t="s">
        <v>39</v>
      </c>
      <c r="U158" s="2" t="s">
        <v>40</v>
      </c>
      <c r="V158" s="3"/>
    </row>
    <row r="159" spans="1:22">
      <c r="A159" s="2">
        <v>158</v>
      </c>
      <c r="B159" s="3" t="s">
        <v>1578</v>
      </c>
      <c r="C159" s="3" t="s">
        <v>1649</v>
      </c>
      <c r="D159" s="3" t="s">
        <v>1650</v>
      </c>
      <c r="E159" s="2" t="s">
        <v>128</v>
      </c>
      <c r="F159" s="2" t="s">
        <v>26</v>
      </c>
      <c r="G159" s="3" t="s">
        <v>1651</v>
      </c>
      <c r="H159" s="2" t="s">
        <v>1652</v>
      </c>
      <c r="I159" s="3" t="s">
        <v>29</v>
      </c>
      <c r="J159" s="3" t="s">
        <v>1653</v>
      </c>
      <c r="K159" s="3" t="s">
        <v>47</v>
      </c>
      <c r="L159" s="3" t="s">
        <v>167</v>
      </c>
      <c r="M159" s="3" t="s">
        <v>1654</v>
      </c>
      <c r="N159" s="3" t="s">
        <v>1655</v>
      </c>
      <c r="O159" s="3" t="s">
        <v>1656</v>
      </c>
      <c r="P159" s="3" t="s">
        <v>1657</v>
      </c>
      <c r="Q159" s="3" t="s">
        <v>1658</v>
      </c>
      <c r="R159" s="3" t="s">
        <v>1658</v>
      </c>
      <c r="S159" s="2" t="s">
        <v>38</v>
      </c>
      <c r="T159" s="2" t="s">
        <v>39</v>
      </c>
      <c r="U159" s="2" t="s">
        <v>40</v>
      </c>
      <c r="V159" s="3"/>
    </row>
    <row r="160" spans="1:22">
      <c r="A160" s="2">
        <v>159</v>
      </c>
      <c r="B160" s="3" t="s">
        <v>1578</v>
      </c>
      <c r="C160" s="3" t="s">
        <v>1659</v>
      </c>
      <c r="D160" s="3" t="s">
        <v>1660</v>
      </c>
      <c r="E160" s="2" t="s">
        <v>257</v>
      </c>
      <c r="F160" s="2" t="s">
        <v>26</v>
      </c>
      <c r="G160" s="3" t="s">
        <v>1661</v>
      </c>
      <c r="H160" s="2" t="s">
        <v>1662</v>
      </c>
      <c r="I160" s="3" t="s">
        <v>29</v>
      </c>
      <c r="J160" s="3" t="s">
        <v>1663</v>
      </c>
      <c r="K160" s="3" t="s">
        <v>47</v>
      </c>
      <c r="L160" s="3" t="s">
        <v>293</v>
      </c>
      <c r="M160" s="3" t="s">
        <v>1664</v>
      </c>
      <c r="N160" s="3" t="s">
        <v>1665</v>
      </c>
      <c r="O160" s="3" t="s">
        <v>1666</v>
      </c>
      <c r="P160" s="3" t="s">
        <v>1667</v>
      </c>
      <c r="Q160" s="3" t="s">
        <v>1668</v>
      </c>
      <c r="R160" s="3" t="s">
        <v>1668</v>
      </c>
      <c r="S160" s="2" t="s">
        <v>38</v>
      </c>
      <c r="T160" s="2" t="s">
        <v>39</v>
      </c>
      <c r="U160" s="2" t="s">
        <v>40</v>
      </c>
      <c r="V160" s="3"/>
    </row>
    <row r="161" spans="1:22">
      <c r="A161" s="2">
        <v>160</v>
      </c>
      <c r="B161" s="3" t="s">
        <v>1578</v>
      </c>
      <c r="C161" s="3" t="s">
        <v>1669</v>
      </c>
      <c r="D161" s="3" t="s">
        <v>1670</v>
      </c>
      <c r="E161" s="2" t="s">
        <v>257</v>
      </c>
      <c r="F161" s="2" t="s">
        <v>26</v>
      </c>
      <c r="G161" s="3" t="s">
        <v>1671</v>
      </c>
      <c r="H161" s="2" t="s">
        <v>1672</v>
      </c>
      <c r="I161" s="3" t="s">
        <v>29</v>
      </c>
      <c r="J161" s="3" t="s">
        <v>1673</v>
      </c>
      <c r="K161" s="3" t="s">
        <v>47</v>
      </c>
      <c r="L161" s="3" t="s">
        <v>603</v>
      </c>
      <c r="M161" s="3" t="s">
        <v>1674</v>
      </c>
      <c r="N161" s="3" t="s">
        <v>1675</v>
      </c>
      <c r="O161" s="3" t="s">
        <v>1676</v>
      </c>
      <c r="P161" s="3" t="s">
        <v>1677</v>
      </c>
      <c r="Q161" s="3" t="s">
        <v>1678</v>
      </c>
      <c r="R161" s="3" t="s">
        <v>1678</v>
      </c>
      <c r="S161" s="2" t="s">
        <v>38</v>
      </c>
      <c r="T161" s="2" t="s">
        <v>39</v>
      </c>
      <c r="U161" s="2" t="s">
        <v>40</v>
      </c>
      <c r="V161" s="3"/>
    </row>
    <row r="162" spans="1:22">
      <c r="A162" s="2">
        <v>161</v>
      </c>
      <c r="B162" s="3" t="s">
        <v>1578</v>
      </c>
      <c r="C162" s="3" t="s">
        <v>1679</v>
      </c>
      <c r="D162" s="3" t="s">
        <v>1680</v>
      </c>
      <c r="E162" s="2" t="s">
        <v>185</v>
      </c>
      <c r="F162" s="2" t="s">
        <v>43</v>
      </c>
      <c r="G162" s="3" t="s">
        <v>1681</v>
      </c>
      <c r="H162" s="2" t="s">
        <v>1682</v>
      </c>
      <c r="I162" s="3" t="s">
        <v>29</v>
      </c>
      <c r="J162" s="3" t="s">
        <v>1683</v>
      </c>
      <c r="K162" s="3" t="s">
        <v>47</v>
      </c>
      <c r="L162" s="3" t="s">
        <v>132</v>
      </c>
      <c r="M162" s="3" t="s">
        <v>1684</v>
      </c>
      <c r="N162" s="3" t="s">
        <v>1685</v>
      </c>
      <c r="O162" s="3" t="s">
        <v>1686</v>
      </c>
      <c r="P162" s="3" t="s">
        <v>1687</v>
      </c>
      <c r="Q162" s="3" t="s">
        <v>1688</v>
      </c>
      <c r="R162" s="3" t="s">
        <v>1688</v>
      </c>
      <c r="S162" s="2" t="s">
        <v>38</v>
      </c>
      <c r="T162" s="2" t="s">
        <v>39</v>
      </c>
      <c r="U162" s="2" t="s">
        <v>40</v>
      </c>
      <c r="V162" s="3"/>
    </row>
    <row r="163" spans="1:22">
      <c r="A163" s="2">
        <v>162</v>
      </c>
      <c r="B163" s="3" t="s">
        <v>1578</v>
      </c>
      <c r="C163" s="3" t="s">
        <v>1689</v>
      </c>
      <c r="D163" s="3" t="s">
        <v>1690</v>
      </c>
      <c r="E163" s="2" t="s">
        <v>351</v>
      </c>
      <c r="F163" s="2" t="s">
        <v>26</v>
      </c>
      <c r="G163" s="3" t="s">
        <v>1691</v>
      </c>
      <c r="H163" s="2" t="s">
        <v>1692</v>
      </c>
      <c r="I163" s="3" t="s">
        <v>29</v>
      </c>
      <c r="J163" s="3" t="s">
        <v>1693</v>
      </c>
      <c r="K163" s="3" t="s">
        <v>1694</v>
      </c>
      <c r="L163" s="3" t="s">
        <v>1695</v>
      </c>
      <c r="M163" s="3" t="s">
        <v>1696</v>
      </c>
      <c r="N163" s="3" t="s">
        <v>1697</v>
      </c>
      <c r="O163" s="3" t="s">
        <v>1698</v>
      </c>
      <c r="P163" s="3" t="s">
        <v>1699</v>
      </c>
      <c r="Q163" s="3" t="s">
        <v>1700</v>
      </c>
      <c r="R163" s="3" t="s">
        <v>1700</v>
      </c>
      <c r="S163" s="2" t="s">
        <v>38</v>
      </c>
      <c r="T163" s="2" t="s">
        <v>39</v>
      </c>
      <c r="U163" s="2" t="s">
        <v>40</v>
      </c>
      <c r="V163" s="3"/>
    </row>
    <row r="164" spans="1:22">
      <c r="A164" s="2">
        <v>163</v>
      </c>
      <c r="B164" s="3" t="s">
        <v>1578</v>
      </c>
      <c r="C164" s="3" t="s">
        <v>1701</v>
      </c>
      <c r="D164" s="3" t="s">
        <v>1702</v>
      </c>
      <c r="E164" s="2" t="s">
        <v>69</v>
      </c>
      <c r="F164" s="2" t="s">
        <v>26</v>
      </c>
      <c r="G164" s="3" t="s">
        <v>1703</v>
      </c>
      <c r="H164" s="2" t="s">
        <v>1704</v>
      </c>
      <c r="I164" s="3" t="s">
        <v>29</v>
      </c>
      <c r="J164" s="3" t="s">
        <v>1705</v>
      </c>
      <c r="K164" s="3" t="s">
        <v>272</v>
      </c>
      <c r="L164" s="3" t="s">
        <v>167</v>
      </c>
      <c r="M164" s="3" t="s">
        <v>1706</v>
      </c>
      <c r="N164" s="3" t="s">
        <v>1707</v>
      </c>
      <c r="O164" s="3" t="s">
        <v>1708</v>
      </c>
      <c r="P164" s="3" t="s">
        <v>1709</v>
      </c>
      <c r="Q164" s="3" t="s">
        <v>1710</v>
      </c>
      <c r="R164" s="3" t="s">
        <v>1710</v>
      </c>
      <c r="S164" s="2" t="s">
        <v>38</v>
      </c>
      <c r="T164" s="2" t="s">
        <v>39</v>
      </c>
      <c r="U164" s="2" t="s">
        <v>40</v>
      </c>
      <c r="V164" s="3"/>
    </row>
    <row r="165" spans="1:22">
      <c r="A165" s="2">
        <v>164</v>
      </c>
      <c r="B165" s="3" t="s">
        <v>1578</v>
      </c>
      <c r="C165" s="3" t="s">
        <v>1711</v>
      </c>
      <c r="D165" s="3" t="s">
        <v>1712</v>
      </c>
      <c r="E165" s="2" t="s">
        <v>257</v>
      </c>
      <c r="F165" s="2" t="s">
        <v>26</v>
      </c>
      <c r="G165" s="3" t="s">
        <v>1713</v>
      </c>
      <c r="H165" s="2" t="s">
        <v>1714</v>
      </c>
      <c r="I165" s="3" t="s">
        <v>29</v>
      </c>
      <c r="J165" s="3" t="s">
        <v>1715</v>
      </c>
      <c r="K165" s="3" t="s">
        <v>47</v>
      </c>
      <c r="L165" s="3" t="s">
        <v>145</v>
      </c>
      <c r="M165" s="3" t="s">
        <v>1716</v>
      </c>
      <c r="N165" s="3" t="s">
        <v>1717</v>
      </c>
      <c r="O165" s="3" t="s">
        <v>1718</v>
      </c>
      <c r="P165" s="3" t="s">
        <v>1719</v>
      </c>
      <c r="Q165" s="3" t="s">
        <v>1720</v>
      </c>
      <c r="R165" s="3" t="s">
        <v>1720</v>
      </c>
      <c r="S165" s="2" t="s">
        <v>38</v>
      </c>
      <c r="T165" s="2" t="s">
        <v>39</v>
      </c>
      <c r="U165" s="2" t="s">
        <v>40</v>
      </c>
      <c r="V165" s="3"/>
    </row>
    <row r="166" spans="1:22">
      <c r="A166" s="2">
        <v>165</v>
      </c>
      <c r="B166" s="3" t="s">
        <v>1578</v>
      </c>
      <c r="C166" s="3" t="s">
        <v>1721</v>
      </c>
      <c r="D166" s="3" t="s">
        <v>1722</v>
      </c>
      <c r="E166" s="2" t="s">
        <v>506</v>
      </c>
      <c r="F166" s="2" t="s">
        <v>43</v>
      </c>
      <c r="G166" s="3" t="s">
        <v>1723</v>
      </c>
      <c r="H166" s="2" t="s">
        <v>1724</v>
      </c>
      <c r="I166" s="3" t="s">
        <v>29</v>
      </c>
      <c r="J166" s="3" t="s">
        <v>1725</v>
      </c>
      <c r="K166" s="3" t="s">
        <v>47</v>
      </c>
      <c r="L166" s="3" t="s">
        <v>108</v>
      </c>
      <c r="M166" s="3" t="s">
        <v>1726</v>
      </c>
      <c r="N166" s="3" t="s">
        <v>1727</v>
      </c>
      <c r="O166" s="3" t="s">
        <v>1728</v>
      </c>
      <c r="P166" s="3" t="s">
        <v>1729</v>
      </c>
      <c r="Q166" s="3" t="s">
        <v>1730</v>
      </c>
      <c r="R166" s="3" t="s">
        <v>1730</v>
      </c>
      <c r="S166" s="2" t="s">
        <v>38</v>
      </c>
      <c r="T166" s="2" t="s">
        <v>39</v>
      </c>
      <c r="U166" s="2" t="s">
        <v>40</v>
      </c>
      <c r="V166" s="3"/>
    </row>
    <row r="167" spans="1:22">
      <c r="A167" s="2">
        <v>166</v>
      </c>
      <c r="B167" s="3" t="s">
        <v>1578</v>
      </c>
      <c r="C167" s="3" t="s">
        <v>1731</v>
      </c>
      <c r="D167" s="3" t="s">
        <v>1732</v>
      </c>
      <c r="E167" s="2" t="s">
        <v>56</v>
      </c>
      <c r="F167" s="2" t="s">
        <v>26</v>
      </c>
      <c r="G167" s="3" t="s">
        <v>1733</v>
      </c>
      <c r="H167" s="2" t="s">
        <v>1734</v>
      </c>
      <c r="I167" s="3" t="s">
        <v>29</v>
      </c>
      <c r="J167" s="3" t="s">
        <v>1735</v>
      </c>
      <c r="K167" s="3" t="s">
        <v>47</v>
      </c>
      <c r="L167" s="3" t="s">
        <v>167</v>
      </c>
      <c r="M167" s="3" t="s">
        <v>1736</v>
      </c>
      <c r="N167" s="3" t="s">
        <v>1737</v>
      </c>
      <c r="O167" s="3" t="s">
        <v>1738</v>
      </c>
      <c r="P167" s="3" t="s">
        <v>1739</v>
      </c>
      <c r="Q167" s="3" t="s">
        <v>1740</v>
      </c>
      <c r="R167" s="3" t="s">
        <v>1740</v>
      </c>
      <c r="S167" s="2" t="s">
        <v>38</v>
      </c>
      <c r="T167" s="2" t="s">
        <v>39</v>
      </c>
      <c r="U167" s="2" t="s">
        <v>40</v>
      </c>
      <c r="V167" s="3"/>
    </row>
    <row r="168" spans="1:22">
      <c r="A168" s="2">
        <v>167</v>
      </c>
      <c r="B168" s="3" t="s">
        <v>1578</v>
      </c>
      <c r="C168" s="3" t="s">
        <v>1741</v>
      </c>
      <c r="D168" s="3" t="s">
        <v>1742</v>
      </c>
      <c r="E168" s="2" t="s">
        <v>1017</v>
      </c>
      <c r="F168" s="2" t="s">
        <v>26</v>
      </c>
      <c r="G168" s="3" t="s">
        <v>1743</v>
      </c>
      <c r="H168" s="2" t="s">
        <v>1744</v>
      </c>
      <c r="I168" s="3" t="s">
        <v>29</v>
      </c>
      <c r="J168" s="3" t="s">
        <v>1745</v>
      </c>
      <c r="K168" s="3" t="s">
        <v>47</v>
      </c>
      <c r="L168" s="3" t="s">
        <v>132</v>
      </c>
      <c r="M168" s="3" t="s">
        <v>1746</v>
      </c>
      <c r="N168" s="3" t="s">
        <v>1747</v>
      </c>
      <c r="O168" s="3" t="s">
        <v>1748</v>
      </c>
      <c r="P168" s="3" t="s">
        <v>1749</v>
      </c>
      <c r="Q168" s="3" t="s">
        <v>1750</v>
      </c>
      <c r="R168" s="3" t="s">
        <v>1750</v>
      </c>
      <c r="S168" s="2" t="s">
        <v>38</v>
      </c>
      <c r="T168" s="2" t="s">
        <v>39</v>
      </c>
      <c r="U168" s="2" t="s">
        <v>40</v>
      </c>
      <c r="V168" s="3"/>
    </row>
    <row r="169" spans="1:22">
      <c r="A169" s="2">
        <v>168</v>
      </c>
      <c r="B169" s="3" t="s">
        <v>1578</v>
      </c>
      <c r="C169" s="3" t="s">
        <v>1751</v>
      </c>
      <c r="D169" s="3" t="s">
        <v>1752</v>
      </c>
      <c r="E169" s="2" t="s">
        <v>116</v>
      </c>
      <c r="F169" s="2" t="s">
        <v>43</v>
      </c>
      <c r="G169" s="3" t="s">
        <v>1753</v>
      </c>
      <c r="H169" s="2" t="s">
        <v>1754</v>
      </c>
      <c r="I169" s="3" t="s">
        <v>29</v>
      </c>
      <c r="J169" s="3" t="s">
        <v>1755</v>
      </c>
      <c r="K169" s="3" t="s">
        <v>144</v>
      </c>
      <c r="L169" s="3" t="s">
        <v>145</v>
      </c>
      <c r="M169" s="3" t="s">
        <v>1756</v>
      </c>
      <c r="N169" s="3" t="s">
        <v>1757</v>
      </c>
      <c r="O169" s="3" t="s">
        <v>1758</v>
      </c>
      <c r="P169" s="3" t="s">
        <v>1759</v>
      </c>
      <c r="Q169" s="3" t="s">
        <v>1760</v>
      </c>
      <c r="R169" s="3" t="s">
        <v>1760</v>
      </c>
      <c r="S169" s="2" t="s">
        <v>38</v>
      </c>
      <c r="T169" s="2" t="s">
        <v>39</v>
      </c>
      <c r="U169" s="2" t="s">
        <v>40</v>
      </c>
      <c r="V169" s="3"/>
    </row>
    <row r="170" spans="1:22">
      <c r="A170" s="2">
        <v>169</v>
      </c>
      <c r="B170" s="3" t="s">
        <v>1578</v>
      </c>
      <c r="C170" s="3" t="s">
        <v>1761</v>
      </c>
      <c r="D170" s="3" t="s">
        <v>1762</v>
      </c>
      <c r="E170" s="2" t="s">
        <v>81</v>
      </c>
      <c r="F170" s="2" t="s">
        <v>43</v>
      </c>
      <c r="G170" s="3" t="s">
        <v>1763</v>
      </c>
      <c r="H170" s="2" t="s">
        <v>1764</v>
      </c>
      <c r="I170" s="3" t="s">
        <v>29</v>
      </c>
      <c r="J170" s="3" t="s">
        <v>1765</v>
      </c>
      <c r="K170" s="3" t="s">
        <v>47</v>
      </c>
      <c r="L170" s="3" t="s">
        <v>293</v>
      </c>
      <c r="M170" s="3" t="s">
        <v>1766</v>
      </c>
      <c r="N170" s="3" t="s">
        <v>1767</v>
      </c>
      <c r="O170" s="3" t="s">
        <v>1768</v>
      </c>
      <c r="P170" s="3" t="s">
        <v>1769</v>
      </c>
      <c r="Q170" s="3" t="s">
        <v>1770</v>
      </c>
      <c r="R170" s="3" t="s">
        <v>1770</v>
      </c>
      <c r="S170" s="2" t="s">
        <v>38</v>
      </c>
      <c r="T170" s="2" t="s">
        <v>39</v>
      </c>
      <c r="U170" s="2" t="s">
        <v>40</v>
      </c>
      <c r="V170" s="3"/>
    </row>
    <row r="171" spans="1:22">
      <c r="A171" s="2">
        <v>170</v>
      </c>
      <c r="B171" s="3" t="s">
        <v>1578</v>
      </c>
      <c r="C171" s="3" t="s">
        <v>1771</v>
      </c>
      <c r="D171" s="3" t="s">
        <v>1772</v>
      </c>
      <c r="E171" s="2" t="s">
        <v>69</v>
      </c>
      <c r="F171" s="2" t="s">
        <v>43</v>
      </c>
      <c r="G171" s="3" t="s">
        <v>1773</v>
      </c>
      <c r="H171" s="2" t="s">
        <v>1774</v>
      </c>
      <c r="I171" s="3" t="s">
        <v>29</v>
      </c>
      <c r="J171" s="3" t="s">
        <v>1775</v>
      </c>
      <c r="K171" s="3" t="s">
        <v>47</v>
      </c>
      <c r="L171" s="3" t="s">
        <v>73</v>
      </c>
      <c r="M171" s="3" t="s">
        <v>1776</v>
      </c>
      <c r="N171" s="3" t="s">
        <v>1777</v>
      </c>
      <c r="O171" s="3" t="s">
        <v>1778</v>
      </c>
      <c r="P171" s="3" t="s">
        <v>1779</v>
      </c>
      <c r="Q171" s="3" t="s">
        <v>1780</v>
      </c>
      <c r="R171" s="3" t="s">
        <v>1780</v>
      </c>
      <c r="S171" s="2" t="s">
        <v>38</v>
      </c>
      <c r="T171" s="2" t="s">
        <v>39</v>
      </c>
      <c r="U171" s="2" t="s">
        <v>40</v>
      </c>
      <c r="V171" s="3"/>
    </row>
    <row r="172" spans="1:22">
      <c r="A172" s="2">
        <v>171</v>
      </c>
      <c r="B172" s="3" t="s">
        <v>1578</v>
      </c>
      <c r="C172" s="3" t="s">
        <v>1781</v>
      </c>
      <c r="D172" s="3" t="s">
        <v>1782</v>
      </c>
      <c r="E172" s="2" t="s">
        <v>506</v>
      </c>
      <c r="F172" s="2" t="s">
        <v>26</v>
      </c>
      <c r="G172" s="3" t="s">
        <v>1783</v>
      </c>
      <c r="H172" s="2" t="s">
        <v>1784</v>
      </c>
      <c r="I172" s="3" t="s">
        <v>29</v>
      </c>
      <c r="J172" s="3" t="s">
        <v>1785</v>
      </c>
      <c r="K172" s="3" t="s">
        <v>272</v>
      </c>
      <c r="L172" s="3" t="s">
        <v>132</v>
      </c>
      <c r="M172" s="3" t="s">
        <v>1786</v>
      </c>
      <c r="N172" s="3" t="s">
        <v>1787</v>
      </c>
      <c r="O172" s="3" t="s">
        <v>1788</v>
      </c>
      <c r="P172" s="3" t="s">
        <v>1789</v>
      </c>
      <c r="Q172" s="3" t="s">
        <v>1790</v>
      </c>
      <c r="R172" s="3" t="s">
        <v>1790</v>
      </c>
      <c r="S172" s="2" t="s">
        <v>38</v>
      </c>
      <c r="T172" s="2" t="s">
        <v>39</v>
      </c>
      <c r="U172" s="2" t="s">
        <v>40</v>
      </c>
      <c r="V172" s="3"/>
    </row>
    <row r="173" spans="1:22">
      <c r="A173" s="2">
        <v>172</v>
      </c>
      <c r="B173" s="3" t="s">
        <v>1578</v>
      </c>
      <c r="C173" s="3" t="s">
        <v>1791</v>
      </c>
      <c r="D173" s="3" t="s">
        <v>1792</v>
      </c>
      <c r="E173" s="2" t="s">
        <v>81</v>
      </c>
      <c r="F173" s="2" t="s">
        <v>26</v>
      </c>
      <c r="G173" s="3" t="s">
        <v>1793</v>
      </c>
      <c r="H173" s="2" t="s">
        <v>1794</v>
      </c>
      <c r="I173" s="3" t="s">
        <v>29</v>
      </c>
      <c r="J173" s="3" t="s">
        <v>1795</v>
      </c>
      <c r="K173" s="3" t="s">
        <v>31</v>
      </c>
      <c r="L173" s="3" t="s">
        <v>323</v>
      </c>
      <c r="M173" s="3" t="s">
        <v>1796</v>
      </c>
      <c r="N173" s="3" t="s">
        <v>1797</v>
      </c>
      <c r="O173" s="3" t="s">
        <v>1798</v>
      </c>
      <c r="P173" s="3" t="s">
        <v>1799</v>
      </c>
      <c r="Q173" s="3" t="s">
        <v>1800</v>
      </c>
      <c r="R173" s="3" t="s">
        <v>1800</v>
      </c>
      <c r="S173" s="2" t="s">
        <v>38</v>
      </c>
      <c r="T173" s="2" t="s">
        <v>39</v>
      </c>
      <c r="U173" s="2" t="s">
        <v>40</v>
      </c>
      <c r="V173" s="3"/>
    </row>
    <row r="174" spans="1:22">
      <c r="A174" s="2">
        <v>173</v>
      </c>
      <c r="B174" s="3" t="s">
        <v>1578</v>
      </c>
      <c r="C174" s="3" t="s">
        <v>1801</v>
      </c>
      <c r="D174" s="3" t="s">
        <v>1802</v>
      </c>
      <c r="E174" s="2" t="s">
        <v>506</v>
      </c>
      <c r="F174" s="2" t="s">
        <v>26</v>
      </c>
      <c r="G174" s="3" t="s">
        <v>1803</v>
      </c>
      <c r="H174" s="2" t="s">
        <v>1804</v>
      </c>
      <c r="I174" s="3" t="s">
        <v>29</v>
      </c>
      <c r="J174" s="3" t="s">
        <v>1805</v>
      </c>
      <c r="K174" s="3" t="s">
        <v>365</v>
      </c>
      <c r="L174" s="3" t="s">
        <v>61</v>
      </c>
      <c r="M174" s="3" t="s">
        <v>1806</v>
      </c>
      <c r="N174" s="3" t="s">
        <v>1807</v>
      </c>
      <c r="O174" s="3" t="s">
        <v>1808</v>
      </c>
      <c r="P174" s="3" t="s">
        <v>1809</v>
      </c>
      <c r="Q174" s="3" t="s">
        <v>1810</v>
      </c>
      <c r="R174" s="3" t="s">
        <v>1810</v>
      </c>
      <c r="S174" s="2" t="s">
        <v>38</v>
      </c>
      <c r="T174" s="2" t="s">
        <v>39</v>
      </c>
      <c r="U174" s="2" t="s">
        <v>40</v>
      </c>
      <c r="V174" s="3"/>
    </row>
    <row r="175" spans="1:22">
      <c r="A175" s="2">
        <v>174</v>
      </c>
      <c r="B175" s="3" t="s">
        <v>1578</v>
      </c>
      <c r="C175" s="3" t="s">
        <v>1811</v>
      </c>
      <c r="D175" s="3" t="s">
        <v>1812</v>
      </c>
      <c r="E175" s="2" t="s">
        <v>25</v>
      </c>
      <c r="F175" s="2" t="s">
        <v>26</v>
      </c>
      <c r="G175" s="3" t="s">
        <v>1813</v>
      </c>
      <c r="H175" s="2" t="s">
        <v>1814</v>
      </c>
      <c r="I175" s="3" t="s">
        <v>29</v>
      </c>
      <c r="J175" s="3" t="s">
        <v>1815</v>
      </c>
      <c r="K175" s="3" t="s">
        <v>47</v>
      </c>
      <c r="L175" s="3" t="s">
        <v>167</v>
      </c>
      <c r="M175" s="3" t="s">
        <v>1816</v>
      </c>
      <c r="N175" s="3" t="s">
        <v>1817</v>
      </c>
      <c r="O175" s="3" t="s">
        <v>1818</v>
      </c>
      <c r="P175" s="3" t="s">
        <v>1819</v>
      </c>
      <c r="Q175" s="3" t="s">
        <v>1820</v>
      </c>
      <c r="R175" s="3" t="s">
        <v>1820</v>
      </c>
      <c r="S175" s="2" t="s">
        <v>38</v>
      </c>
      <c r="T175" s="2" t="s">
        <v>39</v>
      </c>
      <c r="U175" s="2" t="s">
        <v>40</v>
      </c>
      <c r="V175" s="3"/>
    </row>
    <row r="176" spans="1:22">
      <c r="A176" s="2">
        <v>175</v>
      </c>
      <c r="B176" s="3" t="s">
        <v>1578</v>
      </c>
      <c r="C176" s="3" t="s">
        <v>1821</v>
      </c>
      <c r="D176" s="3" t="s">
        <v>1822</v>
      </c>
      <c r="E176" s="2" t="s">
        <v>81</v>
      </c>
      <c r="F176" s="2" t="s">
        <v>26</v>
      </c>
      <c r="G176" s="3" t="s">
        <v>1823</v>
      </c>
      <c r="H176" s="2" t="s">
        <v>1824</v>
      </c>
      <c r="I176" s="3" t="s">
        <v>29</v>
      </c>
      <c r="J176" s="3" t="s">
        <v>1825</v>
      </c>
      <c r="K176" s="3" t="s">
        <v>47</v>
      </c>
      <c r="L176" s="3" t="s">
        <v>603</v>
      </c>
      <c r="M176" s="3" t="s">
        <v>1826</v>
      </c>
      <c r="N176" s="3" t="s">
        <v>1827</v>
      </c>
      <c r="O176" s="3" t="s">
        <v>1828</v>
      </c>
      <c r="P176" s="3" t="s">
        <v>1829</v>
      </c>
      <c r="Q176" s="3" t="s">
        <v>1830</v>
      </c>
      <c r="R176" s="3" t="s">
        <v>1830</v>
      </c>
      <c r="S176" s="2" t="s">
        <v>38</v>
      </c>
      <c r="T176" s="2" t="s">
        <v>39</v>
      </c>
      <c r="U176" s="2" t="s">
        <v>40</v>
      </c>
      <c r="V176" s="3"/>
    </row>
    <row r="177" spans="1:22">
      <c r="A177" s="2">
        <v>176</v>
      </c>
      <c r="B177" s="3" t="s">
        <v>1578</v>
      </c>
      <c r="C177" s="3" t="s">
        <v>1831</v>
      </c>
      <c r="D177" s="3" t="s">
        <v>1832</v>
      </c>
      <c r="E177" s="2" t="s">
        <v>257</v>
      </c>
      <c r="F177" s="2" t="s">
        <v>43</v>
      </c>
      <c r="G177" s="3" t="s">
        <v>1833</v>
      </c>
      <c r="H177" s="2" t="s">
        <v>1834</v>
      </c>
      <c r="I177" s="3" t="s">
        <v>29</v>
      </c>
      <c r="J177" s="3" t="s">
        <v>1835</v>
      </c>
      <c r="K177" s="3" t="s">
        <v>47</v>
      </c>
      <c r="L177" s="3" t="s">
        <v>989</v>
      </c>
      <c r="M177" s="3" t="s">
        <v>1836</v>
      </c>
      <c r="N177" s="3" t="s">
        <v>1837</v>
      </c>
      <c r="O177" s="3" t="s">
        <v>1838</v>
      </c>
      <c r="P177" s="3" t="s">
        <v>1839</v>
      </c>
      <c r="Q177" s="3" t="s">
        <v>1840</v>
      </c>
      <c r="R177" s="3" t="s">
        <v>1840</v>
      </c>
      <c r="S177" s="2" t="s">
        <v>38</v>
      </c>
      <c r="T177" s="2" t="s">
        <v>39</v>
      </c>
      <c r="U177" s="2" t="s">
        <v>40</v>
      </c>
      <c r="V177" s="3"/>
    </row>
    <row r="178" spans="1:22">
      <c r="A178" s="2">
        <v>177</v>
      </c>
      <c r="B178" s="3" t="s">
        <v>1578</v>
      </c>
      <c r="C178" s="3" t="s">
        <v>1841</v>
      </c>
      <c r="D178" s="3" t="s">
        <v>1842</v>
      </c>
      <c r="E178" s="2" t="s">
        <v>185</v>
      </c>
      <c r="F178" s="2" t="s">
        <v>43</v>
      </c>
      <c r="G178" s="3" t="s">
        <v>1843</v>
      </c>
      <c r="H178" s="2" t="s">
        <v>1844</v>
      </c>
      <c r="I178" s="3" t="s">
        <v>29</v>
      </c>
      <c r="J178" s="3" t="s">
        <v>1845</v>
      </c>
      <c r="K178" s="3" t="s">
        <v>272</v>
      </c>
      <c r="L178" s="3" t="s">
        <v>167</v>
      </c>
      <c r="M178" s="3" t="s">
        <v>1846</v>
      </c>
      <c r="N178" s="3" t="s">
        <v>1847</v>
      </c>
      <c r="O178" s="3" t="s">
        <v>1848</v>
      </c>
      <c r="P178" s="3" t="s">
        <v>1849</v>
      </c>
      <c r="Q178" s="3" t="s">
        <v>1850</v>
      </c>
      <c r="R178" s="3" t="s">
        <v>1850</v>
      </c>
      <c r="S178" s="2" t="s">
        <v>38</v>
      </c>
      <c r="T178" s="2" t="s">
        <v>39</v>
      </c>
      <c r="U178" s="2" t="s">
        <v>40</v>
      </c>
      <c r="V178" s="3"/>
    </row>
    <row r="179" spans="1:22">
      <c r="A179" s="2">
        <v>178</v>
      </c>
      <c r="B179" s="3" t="s">
        <v>1578</v>
      </c>
      <c r="C179" s="3" t="s">
        <v>1851</v>
      </c>
      <c r="D179" s="3" t="s">
        <v>1852</v>
      </c>
      <c r="E179" s="2" t="s">
        <v>116</v>
      </c>
      <c r="F179" s="2" t="s">
        <v>26</v>
      </c>
      <c r="G179" s="3" t="s">
        <v>1853</v>
      </c>
      <c r="H179" s="2" t="s">
        <v>1854</v>
      </c>
      <c r="I179" s="3" t="s">
        <v>29</v>
      </c>
      <c r="J179" s="3" t="s">
        <v>1855</v>
      </c>
      <c r="K179" s="3" t="s">
        <v>272</v>
      </c>
      <c r="L179" s="3" t="s">
        <v>323</v>
      </c>
      <c r="M179" s="3" t="s">
        <v>1856</v>
      </c>
      <c r="N179" s="3" t="s">
        <v>1857</v>
      </c>
      <c r="O179" s="3" t="s">
        <v>1858</v>
      </c>
      <c r="P179" s="3" t="s">
        <v>1859</v>
      </c>
      <c r="Q179" s="3" t="s">
        <v>1860</v>
      </c>
      <c r="R179" s="3" t="s">
        <v>1860</v>
      </c>
      <c r="S179" s="2" t="s">
        <v>38</v>
      </c>
      <c r="T179" s="2" t="s">
        <v>39</v>
      </c>
      <c r="U179" s="2" t="s">
        <v>40</v>
      </c>
      <c r="V179" s="3"/>
    </row>
    <row r="180" spans="1:22">
      <c r="A180" s="2">
        <v>179</v>
      </c>
      <c r="B180" s="3" t="s">
        <v>1578</v>
      </c>
      <c r="C180" s="3" t="s">
        <v>1861</v>
      </c>
      <c r="D180" s="3" t="s">
        <v>1862</v>
      </c>
      <c r="E180" s="2" t="s">
        <v>69</v>
      </c>
      <c r="F180" s="2" t="s">
        <v>26</v>
      </c>
      <c r="G180" s="3" t="s">
        <v>1863</v>
      </c>
      <c r="H180" s="2" t="s">
        <v>1864</v>
      </c>
      <c r="I180" s="3" t="s">
        <v>29</v>
      </c>
      <c r="J180" s="3" t="s">
        <v>1865</v>
      </c>
      <c r="K180" s="3" t="s">
        <v>120</v>
      </c>
      <c r="L180" s="3" t="s">
        <v>108</v>
      </c>
      <c r="M180" s="3" t="s">
        <v>1866</v>
      </c>
      <c r="N180" s="3" t="s">
        <v>1867</v>
      </c>
      <c r="O180" s="3" t="s">
        <v>1868</v>
      </c>
      <c r="P180" s="3" t="s">
        <v>1869</v>
      </c>
      <c r="Q180" s="3" t="s">
        <v>1870</v>
      </c>
      <c r="R180" s="3" t="s">
        <v>1870</v>
      </c>
      <c r="S180" s="2" t="s">
        <v>38</v>
      </c>
      <c r="T180" s="2" t="s">
        <v>39</v>
      </c>
      <c r="U180" s="2" t="s">
        <v>40</v>
      </c>
      <c r="V180" s="3"/>
    </row>
    <row r="181" spans="1:22">
      <c r="A181" s="2">
        <v>180</v>
      </c>
      <c r="B181" s="3" t="s">
        <v>1578</v>
      </c>
      <c r="C181" s="3" t="s">
        <v>1871</v>
      </c>
      <c r="D181" s="3" t="s">
        <v>1872</v>
      </c>
      <c r="E181" s="2" t="s">
        <v>56</v>
      </c>
      <c r="F181" s="2" t="s">
        <v>26</v>
      </c>
      <c r="G181" s="3" t="s">
        <v>1873</v>
      </c>
      <c r="H181" s="2" t="s">
        <v>1874</v>
      </c>
      <c r="I181" s="3" t="s">
        <v>29</v>
      </c>
      <c r="J181" s="3" t="s">
        <v>1875</v>
      </c>
      <c r="K181" s="3" t="s">
        <v>47</v>
      </c>
      <c r="L181" s="3" t="s">
        <v>132</v>
      </c>
      <c r="M181" s="3" t="s">
        <v>1876</v>
      </c>
      <c r="N181" s="3" t="s">
        <v>1877</v>
      </c>
      <c r="O181" s="3" t="s">
        <v>1878</v>
      </c>
      <c r="P181" s="3" t="s">
        <v>1879</v>
      </c>
      <c r="Q181" s="3" t="s">
        <v>1880</v>
      </c>
      <c r="R181" s="3" t="s">
        <v>1880</v>
      </c>
      <c r="S181" s="2" t="s">
        <v>38</v>
      </c>
      <c r="T181" s="2" t="s">
        <v>39</v>
      </c>
      <c r="U181" s="2" t="s">
        <v>40</v>
      </c>
      <c r="V181" s="3"/>
    </row>
    <row r="182" spans="1:22">
      <c r="A182" s="2">
        <v>181</v>
      </c>
      <c r="B182" s="3" t="s">
        <v>1578</v>
      </c>
      <c r="C182" s="3" t="s">
        <v>1881</v>
      </c>
      <c r="D182" s="3" t="s">
        <v>1882</v>
      </c>
      <c r="E182" s="2" t="s">
        <v>383</v>
      </c>
      <c r="F182" s="2" t="s">
        <v>26</v>
      </c>
      <c r="G182" s="3" t="s">
        <v>1883</v>
      </c>
      <c r="H182" s="2" t="s">
        <v>1884</v>
      </c>
      <c r="I182" s="3" t="s">
        <v>29</v>
      </c>
      <c r="J182" s="3" t="s">
        <v>1885</v>
      </c>
      <c r="K182" s="3" t="s">
        <v>272</v>
      </c>
      <c r="L182" s="3" t="s">
        <v>167</v>
      </c>
      <c r="M182" s="3" t="s">
        <v>1886</v>
      </c>
      <c r="N182" s="3" t="s">
        <v>1887</v>
      </c>
      <c r="O182" s="3" t="s">
        <v>1888</v>
      </c>
      <c r="P182" s="3" t="s">
        <v>1889</v>
      </c>
      <c r="Q182" s="3" t="s">
        <v>1890</v>
      </c>
      <c r="R182" s="3" t="s">
        <v>1890</v>
      </c>
      <c r="S182" s="2" t="s">
        <v>38</v>
      </c>
      <c r="T182" s="2" t="s">
        <v>39</v>
      </c>
      <c r="U182" s="2" t="s">
        <v>40</v>
      </c>
      <c r="V182" s="3"/>
    </row>
    <row r="183" spans="1:22">
      <c r="A183" s="2">
        <v>182</v>
      </c>
      <c r="B183" s="3" t="s">
        <v>1578</v>
      </c>
      <c r="C183" s="3" t="s">
        <v>1891</v>
      </c>
      <c r="D183" s="3" t="s">
        <v>1892</v>
      </c>
      <c r="E183" s="2" t="s">
        <v>103</v>
      </c>
      <c r="F183" s="2" t="s">
        <v>43</v>
      </c>
      <c r="G183" s="3" t="s">
        <v>1893</v>
      </c>
      <c r="H183" s="2" t="s">
        <v>1894</v>
      </c>
      <c r="I183" s="3" t="s">
        <v>29</v>
      </c>
      <c r="J183" s="3" t="s">
        <v>1895</v>
      </c>
      <c r="K183" s="3" t="s">
        <v>1896</v>
      </c>
      <c r="L183" s="3" t="s">
        <v>167</v>
      </c>
      <c r="M183" s="3" t="s">
        <v>1897</v>
      </c>
      <c r="N183" s="3" t="s">
        <v>1898</v>
      </c>
      <c r="O183" s="3" t="s">
        <v>1899</v>
      </c>
      <c r="P183" s="3" t="s">
        <v>1900</v>
      </c>
      <c r="Q183" s="3" t="s">
        <v>1901</v>
      </c>
      <c r="R183" s="3" t="s">
        <v>1901</v>
      </c>
      <c r="S183" s="2" t="s">
        <v>38</v>
      </c>
      <c r="T183" s="2" t="s">
        <v>39</v>
      </c>
      <c r="U183" s="2" t="s">
        <v>40</v>
      </c>
      <c r="V183" s="3"/>
    </row>
    <row r="184" spans="1:22">
      <c r="A184" s="2">
        <v>183</v>
      </c>
      <c r="B184" s="3" t="s">
        <v>1578</v>
      </c>
      <c r="C184" s="3" t="s">
        <v>1902</v>
      </c>
      <c r="D184" s="3" t="s">
        <v>1903</v>
      </c>
      <c r="E184" s="2" t="s">
        <v>56</v>
      </c>
      <c r="F184" s="2" t="s">
        <v>26</v>
      </c>
      <c r="G184" s="3" t="s">
        <v>1904</v>
      </c>
      <c r="H184" s="2" t="s">
        <v>1905</v>
      </c>
      <c r="I184" s="3" t="s">
        <v>29</v>
      </c>
      <c r="J184" s="3" t="s">
        <v>1906</v>
      </c>
      <c r="K184" s="3" t="s">
        <v>47</v>
      </c>
      <c r="L184" s="3" t="s">
        <v>167</v>
      </c>
      <c r="M184" s="3" t="s">
        <v>1907</v>
      </c>
      <c r="N184" s="3" t="s">
        <v>1908</v>
      </c>
      <c r="O184" s="3" t="s">
        <v>1909</v>
      </c>
      <c r="P184" s="3" t="s">
        <v>1910</v>
      </c>
      <c r="Q184" s="3" t="s">
        <v>1911</v>
      </c>
      <c r="R184" s="3" t="s">
        <v>1911</v>
      </c>
      <c r="S184" s="2" t="s">
        <v>38</v>
      </c>
      <c r="T184" s="2" t="s">
        <v>39</v>
      </c>
      <c r="U184" s="2" t="s">
        <v>40</v>
      </c>
      <c r="V184" s="3"/>
    </row>
    <row r="185" spans="1:22">
      <c r="A185" s="2">
        <v>184</v>
      </c>
      <c r="B185" s="3" t="s">
        <v>1578</v>
      </c>
      <c r="C185" s="3" t="s">
        <v>1912</v>
      </c>
      <c r="D185" s="3" t="s">
        <v>1913</v>
      </c>
      <c r="E185" s="2" t="s">
        <v>25</v>
      </c>
      <c r="F185" s="2" t="s">
        <v>43</v>
      </c>
      <c r="G185" s="3" t="s">
        <v>1914</v>
      </c>
      <c r="H185" s="2" t="s">
        <v>1915</v>
      </c>
      <c r="I185" s="3" t="s">
        <v>29</v>
      </c>
      <c r="J185" s="3" t="s">
        <v>1916</v>
      </c>
      <c r="K185" s="3" t="s">
        <v>47</v>
      </c>
      <c r="L185" s="3" t="s">
        <v>323</v>
      </c>
      <c r="M185" s="3" t="s">
        <v>1917</v>
      </c>
      <c r="N185" s="3" t="s">
        <v>1918</v>
      </c>
      <c r="O185" s="3" t="s">
        <v>1919</v>
      </c>
      <c r="P185" s="3" t="s">
        <v>1920</v>
      </c>
      <c r="Q185" s="3" t="s">
        <v>1921</v>
      </c>
      <c r="R185" s="3" t="s">
        <v>1921</v>
      </c>
      <c r="S185" s="2" t="s">
        <v>38</v>
      </c>
      <c r="T185" s="2" t="s">
        <v>39</v>
      </c>
      <c r="U185" s="2" t="s">
        <v>40</v>
      </c>
      <c r="V185" s="3"/>
    </row>
    <row r="186" spans="1:22">
      <c r="A186" s="2">
        <v>185</v>
      </c>
      <c r="B186" s="3" t="s">
        <v>1578</v>
      </c>
      <c r="C186" s="3" t="s">
        <v>1922</v>
      </c>
      <c r="D186" s="3" t="s">
        <v>1923</v>
      </c>
      <c r="E186" s="2" t="s">
        <v>25</v>
      </c>
      <c r="F186" s="2" t="s">
        <v>43</v>
      </c>
      <c r="G186" s="3" t="s">
        <v>1924</v>
      </c>
      <c r="H186" s="2" t="s">
        <v>1925</v>
      </c>
      <c r="I186" s="3" t="s">
        <v>29</v>
      </c>
      <c r="J186" s="3" t="s">
        <v>1926</v>
      </c>
      <c r="K186" s="3" t="s">
        <v>31</v>
      </c>
      <c r="L186" s="3" t="s">
        <v>156</v>
      </c>
      <c r="M186" s="3" t="s">
        <v>1927</v>
      </c>
      <c r="N186" s="3" t="s">
        <v>1928</v>
      </c>
      <c r="O186" s="3" t="s">
        <v>1929</v>
      </c>
      <c r="P186" s="3" t="s">
        <v>1930</v>
      </c>
      <c r="Q186" s="3" t="s">
        <v>1931</v>
      </c>
      <c r="R186" s="3" t="s">
        <v>1931</v>
      </c>
      <c r="S186" s="2" t="s">
        <v>38</v>
      </c>
      <c r="T186" s="2" t="s">
        <v>39</v>
      </c>
      <c r="U186" s="2" t="s">
        <v>40</v>
      </c>
      <c r="V186" s="3"/>
    </row>
    <row r="187" spans="1:22">
      <c r="A187" s="2">
        <v>186</v>
      </c>
      <c r="B187" s="3" t="s">
        <v>1578</v>
      </c>
      <c r="C187" s="3" t="s">
        <v>1932</v>
      </c>
      <c r="D187" s="3" t="s">
        <v>1933</v>
      </c>
      <c r="E187" s="2" t="s">
        <v>206</v>
      </c>
      <c r="F187" s="2" t="s">
        <v>26</v>
      </c>
      <c r="G187" s="3" t="s">
        <v>1934</v>
      </c>
      <c r="H187" s="2" t="s">
        <v>1935</v>
      </c>
      <c r="I187" s="3" t="s">
        <v>29</v>
      </c>
      <c r="J187" s="3" t="s">
        <v>1936</v>
      </c>
      <c r="K187" s="3" t="s">
        <v>47</v>
      </c>
      <c r="L187" s="3" t="s">
        <v>132</v>
      </c>
      <c r="M187" s="3" t="s">
        <v>1937</v>
      </c>
      <c r="N187" s="3" t="s">
        <v>1938</v>
      </c>
      <c r="O187" s="3" t="s">
        <v>1939</v>
      </c>
      <c r="P187" s="3" t="s">
        <v>1940</v>
      </c>
      <c r="Q187" s="3" t="s">
        <v>1941</v>
      </c>
      <c r="R187" s="3" t="s">
        <v>1941</v>
      </c>
      <c r="S187" s="2" t="s">
        <v>38</v>
      </c>
      <c r="T187" s="2" t="s">
        <v>39</v>
      </c>
      <c r="U187" s="2" t="s">
        <v>40</v>
      </c>
      <c r="V187" s="3"/>
    </row>
    <row r="188" spans="1:22">
      <c r="A188" s="2">
        <v>187</v>
      </c>
      <c r="B188" s="3" t="s">
        <v>1578</v>
      </c>
      <c r="C188" s="3" t="s">
        <v>1942</v>
      </c>
      <c r="D188" s="3" t="s">
        <v>1943</v>
      </c>
      <c r="E188" s="2" t="s">
        <v>116</v>
      </c>
      <c r="F188" s="2" t="s">
        <v>26</v>
      </c>
      <c r="G188" s="3" t="s">
        <v>1944</v>
      </c>
      <c r="H188" s="2" t="s">
        <v>1945</v>
      </c>
      <c r="I188" s="3" t="s">
        <v>29</v>
      </c>
      <c r="J188" s="3" t="s">
        <v>1946</v>
      </c>
      <c r="K188" s="3" t="s">
        <v>47</v>
      </c>
      <c r="L188" s="3" t="s">
        <v>323</v>
      </c>
      <c r="M188" s="3" t="s">
        <v>1947</v>
      </c>
      <c r="N188" s="3" t="s">
        <v>1948</v>
      </c>
      <c r="O188" s="3" t="s">
        <v>1949</v>
      </c>
      <c r="P188" s="3" t="s">
        <v>1950</v>
      </c>
      <c r="Q188" s="3" t="s">
        <v>1951</v>
      </c>
      <c r="R188" s="3" t="s">
        <v>1951</v>
      </c>
      <c r="S188" s="2" t="s">
        <v>38</v>
      </c>
      <c r="T188" s="2" t="s">
        <v>39</v>
      </c>
      <c r="U188" s="2" t="s">
        <v>40</v>
      </c>
      <c r="V188" s="3"/>
    </row>
    <row r="189" spans="1:22">
      <c r="A189" s="2">
        <v>188</v>
      </c>
      <c r="B189" s="3" t="s">
        <v>1578</v>
      </c>
      <c r="C189" s="3" t="s">
        <v>1952</v>
      </c>
      <c r="D189" s="3" t="s">
        <v>1953</v>
      </c>
      <c r="E189" s="2" t="s">
        <v>257</v>
      </c>
      <c r="F189" s="2" t="s">
        <v>26</v>
      </c>
      <c r="G189" s="3" t="s">
        <v>1954</v>
      </c>
      <c r="H189" s="2" t="s">
        <v>1955</v>
      </c>
      <c r="I189" s="3" t="s">
        <v>29</v>
      </c>
      <c r="J189" s="3" t="s">
        <v>1956</v>
      </c>
      <c r="K189" s="3" t="s">
        <v>47</v>
      </c>
      <c r="L189" s="3" t="s">
        <v>293</v>
      </c>
      <c r="M189" s="3" t="s">
        <v>1957</v>
      </c>
      <c r="N189" s="3" t="s">
        <v>1958</v>
      </c>
      <c r="O189" s="3" t="s">
        <v>1959</v>
      </c>
      <c r="P189" s="3" t="s">
        <v>1960</v>
      </c>
      <c r="Q189" s="3" t="s">
        <v>1961</v>
      </c>
      <c r="R189" s="3" t="s">
        <v>1961</v>
      </c>
      <c r="S189" s="2" t="s">
        <v>38</v>
      </c>
      <c r="T189" s="2" t="s">
        <v>39</v>
      </c>
      <c r="U189" s="2" t="s">
        <v>40</v>
      </c>
      <c r="V189" s="3"/>
    </row>
    <row r="190" spans="1:22">
      <c r="A190" s="2">
        <v>189</v>
      </c>
      <c r="B190" s="3" t="s">
        <v>1578</v>
      </c>
      <c r="C190" s="3" t="s">
        <v>1962</v>
      </c>
      <c r="D190" s="3" t="s">
        <v>1963</v>
      </c>
      <c r="E190" s="2" t="s">
        <v>351</v>
      </c>
      <c r="F190" s="2" t="s">
        <v>26</v>
      </c>
      <c r="G190" s="3" t="s">
        <v>1964</v>
      </c>
      <c r="H190" s="2" t="s">
        <v>1965</v>
      </c>
      <c r="I190" s="3" t="s">
        <v>29</v>
      </c>
      <c r="J190" s="3" t="s">
        <v>1966</v>
      </c>
      <c r="K190" s="3" t="s">
        <v>47</v>
      </c>
      <c r="L190" s="3" t="s">
        <v>293</v>
      </c>
      <c r="M190" s="3" t="s">
        <v>1967</v>
      </c>
      <c r="N190" s="3" t="s">
        <v>1968</v>
      </c>
      <c r="O190" s="3" t="s">
        <v>1969</v>
      </c>
      <c r="P190" s="3" t="s">
        <v>1970</v>
      </c>
      <c r="Q190" s="3" t="s">
        <v>1971</v>
      </c>
      <c r="R190" s="3" t="s">
        <v>1971</v>
      </c>
      <c r="S190" s="2" t="s">
        <v>38</v>
      </c>
      <c r="T190" s="2" t="s">
        <v>39</v>
      </c>
      <c r="U190" s="2" t="s">
        <v>40</v>
      </c>
      <c r="V190" s="3"/>
    </row>
    <row r="191" spans="1:22">
      <c r="A191" s="2">
        <v>190</v>
      </c>
      <c r="B191" s="3" t="s">
        <v>1578</v>
      </c>
      <c r="C191" s="3" t="s">
        <v>1972</v>
      </c>
      <c r="D191" s="3" t="s">
        <v>1973</v>
      </c>
      <c r="E191" s="2" t="s">
        <v>25</v>
      </c>
      <c r="F191" s="2" t="s">
        <v>26</v>
      </c>
      <c r="G191" s="3" t="s">
        <v>1974</v>
      </c>
      <c r="H191" s="2" t="s">
        <v>1975</v>
      </c>
      <c r="I191" s="3" t="s">
        <v>29</v>
      </c>
      <c r="J191" s="3" t="s">
        <v>1976</v>
      </c>
      <c r="K191" s="3" t="s">
        <v>47</v>
      </c>
      <c r="L191" s="3" t="s">
        <v>167</v>
      </c>
      <c r="M191" s="3" t="s">
        <v>1977</v>
      </c>
      <c r="N191" s="3" t="s">
        <v>1978</v>
      </c>
      <c r="O191" s="3" t="s">
        <v>1979</v>
      </c>
      <c r="P191" s="3" t="s">
        <v>1980</v>
      </c>
      <c r="Q191" s="3" t="s">
        <v>1981</v>
      </c>
      <c r="R191" s="3" t="s">
        <v>1981</v>
      </c>
      <c r="S191" s="2" t="s">
        <v>38</v>
      </c>
      <c r="T191" s="2" t="s">
        <v>39</v>
      </c>
      <c r="U191" s="2" t="s">
        <v>40</v>
      </c>
      <c r="V191" s="3"/>
    </row>
    <row r="192" spans="1:22">
      <c r="A192" s="2">
        <v>191</v>
      </c>
      <c r="B192" s="3" t="s">
        <v>1578</v>
      </c>
      <c r="C192" s="3" t="s">
        <v>1982</v>
      </c>
      <c r="D192" s="3" t="s">
        <v>1983</v>
      </c>
      <c r="E192" s="2" t="s">
        <v>415</v>
      </c>
      <c r="F192" s="2" t="s">
        <v>26</v>
      </c>
      <c r="G192" s="3" t="s">
        <v>1984</v>
      </c>
      <c r="H192" s="2" t="s">
        <v>1985</v>
      </c>
      <c r="I192" s="3" t="s">
        <v>29</v>
      </c>
      <c r="J192" s="3" t="s">
        <v>1986</v>
      </c>
      <c r="K192" s="3" t="s">
        <v>47</v>
      </c>
      <c r="L192" s="3" t="s">
        <v>167</v>
      </c>
      <c r="M192" s="3" t="s">
        <v>1987</v>
      </c>
      <c r="N192" s="3" t="s">
        <v>1988</v>
      </c>
      <c r="O192" s="3" t="s">
        <v>1989</v>
      </c>
      <c r="P192" s="3" t="s">
        <v>1990</v>
      </c>
      <c r="Q192" s="3" t="s">
        <v>1991</v>
      </c>
      <c r="R192" s="3" t="s">
        <v>1991</v>
      </c>
      <c r="S192" s="2" t="s">
        <v>38</v>
      </c>
      <c r="T192" s="2" t="s">
        <v>39</v>
      </c>
      <c r="U192" s="2" t="s">
        <v>40</v>
      </c>
      <c r="V192" s="3"/>
    </row>
    <row r="193" spans="1:22">
      <c r="A193" s="2">
        <v>192</v>
      </c>
      <c r="B193" s="3" t="s">
        <v>1578</v>
      </c>
      <c r="C193" s="3" t="s">
        <v>1992</v>
      </c>
      <c r="D193" s="3" t="s">
        <v>1993</v>
      </c>
      <c r="E193" s="2" t="s">
        <v>404</v>
      </c>
      <c r="F193" s="2" t="s">
        <v>26</v>
      </c>
      <c r="G193" s="3" t="s">
        <v>1994</v>
      </c>
      <c r="H193" s="2" t="s">
        <v>1995</v>
      </c>
      <c r="I193" s="3" t="s">
        <v>29</v>
      </c>
      <c r="J193" s="3" t="s">
        <v>1996</v>
      </c>
      <c r="K193" s="3" t="s">
        <v>47</v>
      </c>
      <c r="L193" s="3" t="s">
        <v>293</v>
      </c>
      <c r="M193" s="3" t="s">
        <v>1997</v>
      </c>
      <c r="N193" s="3" t="s">
        <v>1998</v>
      </c>
      <c r="O193" s="3" t="s">
        <v>1999</v>
      </c>
      <c r="P193" s="3" t="s">
        <v>2000</v>
      </c>
      <c r="Q193" s="3" t="s">
        <v>2001</v>
      </c>
      <c r="R193" s="3" t="s">
        <v>2001</v>
      </c>
      <c r="S193" s="2" t="s">
        <v>38</v>
      </c>
      <c r="T193" s="2" t="s">
        <v>39</v>
      </c>
      <c r="U193" s="2" t="s">
        <v>40</v>
      </c>
      <c r="V193" s="3"/>
    </row>
    <row r="194" spans="1:22">
      <c r="A194" s="2">
        <v>193</v>
      </c>
      <c r="B194" s="3" t="s">
        <v>1578</v>
      </c>
      <c r="C194" s="3" t="s">
        <v>2002</v>
      </c>
      <c r="D194" s="3" t="s">
        <v>2003</v>
      </c>
      <c r="E194" s="2" t="s">
        <v>953</v>
      </c>
      <c r="F194" s="2" t="s">
        <v>43</v>
      </c>
      <c r="G194" s="3" t="s">
        <v>2004</v>
      </c>
      <c r="H194" s="2" t="s">
        <v>2005</v>
      </c>
      <c r="I194" s="3" t="s">
        <v>29</v>
      </c>
      <c r="J194" s="3" t="s">
        <v>2006</v>
      </c>
      <c r="K194" s="3" t="s">
        <v>47</v>
      </c>
      <c r="L194" s="3" t="s">
        <v>448</v>
      </c>
      <c r="M194" s="3" t="s">
        <v>2007</v>
      </c>
      <c r="N194" s="3" t="s">
        <v>2008</v>
      </c>
      <c r="O194" s="3" t="s">
        <v>2009</v>
      </c>
      <c r="P194" s="3" t="s">
        <v>2010</v>
      </c>
      <c r="Q194" s="3" t="s">
        <v>2011</v>
      </c>
      <c r="R194" s="3" t="s">
        <v>2011</v>
      </c>
      <c r="S194" s="2" t="s">
        <v>38</v>
      </c>
      <c r="T194" s="2" t="s">
        <v>39</v>
      </c>
      <c r="U194" s="2" t="s">
        <v>40</v>
      </c>
      <c r="V194" s="3"/>
    </row>
    <row r="195" spans="1:22">
      <c r="A195" s="2">
        <v>194</v>
      </c>
      <c r="B195" s="3" t="s">
        <v>1578</v>
      </c>
      <c r="C195" s="3" t="s">
        <v>2012</v>
      </c>
      <c r="D195" s="3" t="s">
        <v>2013</v>
      </c>
      <c r="E195" s="2" t="s">
        <v>206</v>
      </c>
      <c r="F195" s="2" t="s">
        <v>26</v>
      </c>
      <c r="G195" s="3" t="s">
        <v>2014</v>
      </c>
      <c r="H195" s="2" t="s">
        <v>2015</v>
      </c>
      <c r="I195" s="3" t="s">
        <v>29</v>
      </c>
      <c r="J195" s="3" t="s">
        <v>2016</v>
      </c>
      <c r="K195" s="3" t="s">
        <v>47</v>
      </c>
      <c r="L195" s="3" t="s">
        <v>603</v>
      </c>
      <c r="M195" s="3" t="s">
        <v>2017</v>
      </c>
      <c r="N195" s="3" t="s">
        <v>2018</v>
      </c>
      <c r="O195" s="3" t="s">
        <v>2019</v>
      </c>
      <c r="P195" s="3" t="s">
        <v>2020</v>
      </c>
      <c r="Q195" s="3" t="s">
        <v>2021</v>
      </c>
      <c r="R195" s="3" t="s">
        <v>2021</v>
      </c>
      <c r="S195" s="2" t="s">
        <v>38</v>
      </c>
      <c r="T195" s="2" t="s">
        <v>39</v>
      </c>
      <c r="U195" s="2" t="s">
        <v>40</v>
      </c>
      <c r="V195" s="3"/>
    </row>
    <row r="196" spans="1:22">
      <c r="A196" s="2">
        <v>195</v>
      </c>
      <c r="B196" s="3" t="s">
        <v>1578</v>
      </c>
      <c r="C196" s="3" t="s">
        <v>2022</v>
      </c>
      <c r="D196" s="3" t="s">
        <v>2023</v>
      </c>
      <c r="E196" s="2" t="s">
        <v>103</v>
      </c>
      <c r="F196" s="2" t="s">
        <v>26</v>
      </c>
      <c r="G196" s="3" t="s">
        <v>2024</v>
      </c>
      <c r="H196" s="2" t="s">
        <v>2025</v>
      </c>
      <c r="I196" s="3" t="s">
        <v>29</v>
      </c>
      <c r="J196" s="3" t="s">
        <v>2026</v>
      </c>
      <c r="K196" s="3" t="s">
        <v>47</v>
      </c>
      <c r="L196" s="3" t="s">
        <v>132</v>
      </c>
      <c r="M196" s="3" t="s">
        <v>2027</v>
      </c>
      <c r="N196" s="3" t="s">
        <v>2028</v>
      </c>
      <c r="O196" s="3" t="s">
        <v>2029</v>
      </c>
      <c r="P196" s="3" t="s">
        <v>2030</v>
      </c>
      <c r="Q196" s="3" t="s">
        <v>2031</v>
      </c>
      <c r="R196" s="3" t="s">
        <v>2031</v>
      </c>
      <c r="S196" s="2" t="s">
        <v>38</v>
      </c>
      <c r="T196" s="2" t="s">
        <v>39</v>
      </c>
      <c r="U196" s="2" t="s">
        <v>40</v>
      </c>
      <c r="V196" s="3"/>
    </row>
    <row r="197" spans="1:22">
      <c r="A197" s="2">
        <v>196</v>
      </c>
      <c r="B197" s="3" t="s">
        <v>1578</v>
      </c>
      <c r="C197" s="3" t="s">
        <v>2032</v>
      </c>
      <c r="D197" s="3" t="s">
        <v>2033</v>
      </c>
      <c r="E197" s="2" t="s">
        <v>206</v>
      </c>
      <c r="F197" s="2" t="s">
        <v>26</v>
      </c>
      <c r="G197" s="3" t="s">
        <v>2034</v>
      </c>
      <c r="H197" s="2" t="s">
        <v>2035</v>
      </c>
      <c r="I197" s="3" t="s">
        <v>29</v>
      </c>
      <c r="J197" s="3" t="s">
        <v>2036</v>
      </c>
      <c r="K197" s="3" t="s">
        <v>47</v>
      </c>
      <c r="L197" s="3" t="s">
        <v>167</v>
      </c>
      <c r="M197" s="3" t="s">
        <v>2037</v>
      </c>
      <c r="N197" s="3" t="s">
        <v>2038</v>
      </c>
      <c r="O197" s="3" t="s">
        <v>2039</v>
      </c>
      <c r="P197" s="3" t="s">
        <v>2040</v>
      </c>
      <c r="Q197" s="3" t="s">
        <v>2041</v>
      </c>
      <c r="R197" s="3" t="s">
        <v>2041</v>
      </c>
      <c r="S197" s="2" t="s">
        <v>38</v>
      </c>
      <c r="T197" s="2" t="s">
        <v>39</v>
      </c>
      <c r="U197" s="2" t="s">
        <v>40</v>
      </c>
      <c r="V197" s="3"/>
    </row>
    <row r="198" spans="1:22">
      <c r="A198" s="2">
        <v>197</v>
      </c>
      <c r="B198" s="3" t="s">
        <v>1578</v>
      </c>
      <c r="C198" s="3" t="s">
        <v>2042</v>
      </c>
      <c r="D198" s="3" t="s">
        <v>2043</v>
      </c>
      <c r="E198" s="2" t="s">
        <v>81</v>
      </c>
      <c r="F198" s="2" t="s">
        <v>26</v>
      </c>
      <c r="G198" s="3" t="s">
        <v>2044</v>
      </c>
      <c r="H198" s="2" t="s">
        <v>2045</v>
      </c>
      <c r="I198" s="3" t="s">
        <v>29</v>
      </c>
      <c r="J198" s="3" t="s">
        <v>2046</v>
      </c>
      <c r="K198" s="3" t="s">
        <v>47</v>
      </c>
      <c r="L198" s="3" t="s">
        <v>132</v>
      </c>
      <c r="M198" s="3" t="s">
        <v>2047</v>
      </c>
      <c r="N198" s="3" t="s">
        <v>2048</v>
      </c>
      <c r="O198" s="3" t="s">
        <v>2049</v>
      </c>
      <c r="P198" s="3" t="s">
        <v>2050</v>
      </c>
      <c r="Q198" s="3" t="s">
        <v>2051</v>
      </c>
      <c r="R198" s="3" t="s">
        <v>2051</v>
      </c>
      <c r="S198" s="2" t="s">
        <v>38</v>
      </c>
      <c r="T198" s="2" t="s">
        <v>39</v>
      </c>
      <c r="U198" s="2" t="s">
        <v>40</v>
      </c>
      <c r="V198" s="3"/>
    </row>
    <row r="199" spans="1:22">
      <c r="A199" s="2">
        <v>198</v>
      </c>
      <c r="B199" s="3" t="s">
        <v>1578</v>
      </c>
      <c r="C199" s="3" t="s">
        <v>2052</v>
      </c>
      <c r="D199" s="3" t="s">
        <v>2053</v>
      </c>
      <c r="E199" s="2" t="s">
        <v>913</v>
      </c>
      <c r="F199" s="2" t="s">
        <v>26</v>
      </c>
      <c r="G199" s="3" t="s">
        <v>2054</v>
      </c>
      <c r="H199" s="2" t="s">
        <v>2055</v>
      </c>
      <c r="I199" s="3" t="s">
        <v>29</v>
      </c>
      <c r="J199" s="3" t="s">
        <v>2056</v>
      </c>
      <c r="K199" s="3" t="s">
        <v>47</v>
      </c>
      <c r="L199" s="3" t="s">
        <v>293</v>
      </c>
      <c r="M199" s="3" t="s">
        <v>2057</v>
      </c>
      <c r="N199" s="3" t="s">
        <v>2058</v>
      </c>
      <c r="O199" s="3" t="s">
        <v>2059</v>
      </c>
      <c r="P199" s="3" t="s">
        <v>2060</v>
      </c>
      <c r="Q199" s="3" t="s">
        <v>2061</v>
      </c>
      <c r="R199" s="3" t="s">
        <v>2061</v>
      </c>
      <c r="S199" s="2" t="s">
        <v>38</v>
      </c>
      <c r="T199" s="2" t="s">
        <v>39</v>
      </c>
      <c r="U199" s="2" t="s">
        <v>40</v>
      </c>
      <c r="V199" s="3"/>
    </row>
    <row r="200" spans="1:22">
      <c r="A200" s="2">
        <v>199</v>
      </c>
      <c r="B200" s="3" t="s">
        <v>1578</v>
      </c>
      <c r="C200" s="3" t="s">
        <v>2062</v>
      </c>
      <c r="D200" s="3" t="s">
        <v>2063</v>
      </c>
      <c r="E200" s="2" t="s">
        <v>506</v>
      </c>
      <c r="F200" s="2" t="s">
        <v>43</v>
      </c>
      <c r="G200" s="3" t="s">
        <v>2064</v>
      </c>
      <c r="H200" s="2" t="s">
        <v>2065</v>
      </c>
      <c r="I200" s="3" t="s">
        <v>29</v>
      </c>
      <c r="J200" s="3" t="s">
        <v>2066</v>
      </c>
      <c r="K200" s="3" t="s">
        <v>272</v>
      </c>
      <c r="L200" s="3" t="s">
        <v>156</v>
      </c>
      <c r="M200" s="3" t="s">
        <v>2067</v>
      </c>
      <c r="N200" s="3" t="s">
        <v>2068</v>
      </c>
      <c r="O200" s="3" t="s">
        <v>2069</v>
      </c>
      <c r="P200" s="3" t="s">
        <v>2070</v>
      </c>
      <c r="Q200" s="3" t="s">
        <v>2071</v>
      </c>
      <c r="R200" s="3" t="s">
        <v>2071</v>
      </c>
      <c r="S200" s="2" t="s">
        <v>38</v>
      </c>
      <c r="T200" s="2" t="s">
        <v>39</v>
      </c>
      <c r="U200" s="2" t="s">
        <v>40</v>
      </c>
      <c r="V200" s="3"/>
    </row>
    <row r="201" spans="1:22">
      <c r="A201" s="2">
        <v>200</v>
      </c>
      <c r="B201" s="3" t="s">
        <v>1578</v>
      </c>
      <c r="C201" s="3" t="s">
        <v>2072</v>
      </c>
      <c r="D201" s="3" t="s">
        <v>2073</v>
      </c>
      <c r="E201" s="2" t="s">
        <v>257</v>
      </c>
      <c r="F201" s="2" t="s">
        <v>26</v>
      </c>
      <c r="G201" s="3" t="s">
        <v>2074</v>
      </c>
      <c r="H201" s="2" t="s">
        <v>2075</v>
      </c>
      <c r="I201" s="3" t="s">
        <v>29</v>
      </c>
      <c r="J201" s="3" t="s">
        <v>2076</v>
      </c>
      <c r="K201" s="3" t="s">
        <v>47</v>
      </c>
      <c r="L201" s="3" t="s">
        <v>132</v>
      </c>
      <c r="M201" s="3" t="s">
        <v>2077</v>
      </c>
      <c r="N201" s="3" t="s">
        <v>2078</v>
      </c>
      <c r="O201" s="3" t="s">
        <v>2079</v>
      </c>
      <c r="P201" s="3" t="s">
        <v>2080</v>
      </c>
      <c r="Q201" s="3" t="s">
        <v>2081</v>
      </c>
      <c r="R201" s="3" t="s">
        <v>2081</v>
      </c>
      <c r="S201" s="2" t="s">
        <v>38</v>
      </c>
      <c r="T201" s="2" t="s">
        <v>39</v>
      </c>
      <c r="U201" s="2" t="s">
        <v>40</v>
      </c>
      <c r="V201" s="3"/>
    </row>
    <row r="202" spans="1:22">
      <c r="A202" s="2">
        <v>201</v>
      </c>
      <c r="B202" s="3" t="s">
        <v>2082</v>
      </c>
      <c r="C202" s="3" t="s">
        <v>2083</v>
      </c>
      <c r="D202" s="3" t="s">
        <v>2084</v>
      </c>
      <c r="E202" s="2" t="s">
        <v>206</v>
      </c>
      <c r="F202" s="2" t="s">
        <v>26</v>
      </c>
      <c r="G202" s="3" t="s">
        <v>2085</v>
      </c>
      <c r="H202" s="2" t="s">
        <v>2086</v>
      </c>
      <c r="I202" s="3" t="s">
        <v>29</v>
      </c>
      <c r="J202" s="3" t="s">
        <v>2087</v>
      </c>
      <c r="K202" s="3" t="s">
        <v>47</v>
      </c>
      <c r="L202" s="3" t="s">
        <v>167</v>
      </c>
      <c r="M202" s="3" t="s">
        <v>2088</v>
      </c>
      <c r="N202" s="3" t="s">
        <v>2089</v>
      </c>
      <c r="O202" s="3" t="s">
        <v>2090</v>
      </c>
      <c r="P202" s="3" t="s">
        <v>2091</v>
      </c>
      <c r="Q202" s="3" t="s">
        <v>2092</v>
      </c>
      <c r="R202" s="3" t="s">
        <v>2092</v>
      </c>
      <c r="S202" s="2" t="s">
        <v>38</v>
      </c>
      <c r="T202" s="2" t="s">
        <v>39</v>
      </c>
      <c r="U202" s="2" t="s">
        <v>40</v>
      </c>
      <c r="V202" s="3"/>
    </row>
    <row r="203" spans="1:22">
      <c r="A203" s="2">
        <v>202</v>
      </c>
      <c r="B203" s="3" t="s">
        <v>2082</v>
      </c>
      <c r="C203" s="3" t="s">
        <v>2093</v>
      </c>
      <c r="D203" s="3" t="s">
        <v>2094</v>
      </c>
      <c r="E203" s="2" t="s">
        <v>56</v>
      </c>
      <c r="F203" s="2" t="s">
        <v>26</v>
      </c>
      <c r="G203" s="3" t="s">
        <v>2095</v>
      </c>
      <c r="H203" s="2" t="s">
        <v>2096</v>
      </c>
      <c r="I203" s="3" t="s">
        <v>29</v>
      </c>
      <c r="J203" s="3" t="s">
        <v>2097</v>
      </c>
      <c r="K203" s="3" t="s">
        <v>107</v>
      </c>
      <c r="L203" s="3" t="s">
        <v>32</v>
      </c>
      <c r="M203" s="3" t="s">
        <v>2098</v>
      </c>
      <c r="N203" s="3" t="s">
        <v>2099</v>
      </c>
      <c r="O203" s="3" t="s">
        <v>2100</v>
      </c>
      <c r="P203" s="3" t="s">
        <v>2101</v>
      </c>
      <c r="Q203" s="3" t="s">
        <v>2102</v>
      </c>
      <c r="R203" s="3" t="s">
        <v>2102</v>
      </c>
      <c r="S203" s="2" t="s">
        <v>38</v>
      </c>
      <c r="T203" s="2" t="s">
        <v>39</v>
      </c>
      <c r="U203" s="2" t="s">
        <v>40</v>
      </c>
      <c r="V203" s="3"/>
    </row>
    <row r="204" spans="1:22">
      <c r="A204" s="2">
        <v>203</v>
      </c>
      <c r="B204" s="3" t="s">
        <v>2082</v>
      </c>
      <c r="C204" s="3" t="s">
        <v>2103</v>
      </c>
      <c r="D204" s="3" t="s">
        <v>2104</v>
      </c>
      <c r="E204" s="2" t="s">
        <v>128</v>
      </c>
      <c r="F204" s="2" t="s">
        <v>43</v>
      </c>
      <c r="G204" s="3" t="s">
        <v>2105</v>
      </c>
      <c r="H204" s="2" t="s">
        <v>2106</v>
      </c>
      <c r="I204" s="3" t="s">
        <v>29</v>
      </c>
      <c r="J204" s="3" t="s">
        <v>2107</v>
      </c>
      <c r="K204" s="3" t="s">
        <v>272</v>
      </c>
      <c r="L204" s="3" t="s">
        <v>989</v>
      </c>
      <c r="M204" s="3" t="s">
        <v>2108</v>
      </c>
      <c r="N204" s="3" t="s">
        <v>2109</v>
      </c>
      <c r="O204" s="3" t="s">
        <v>2110</v>
      </c>
      <c r="P204" s="3" t="s">
        <v>2111</v>
      </c>
      <c r="Q204" s="3" t="s">
        <v>2112</v>
      </c>
      <c r="R204" s="3" t="s">
        <v>2112</v>
      </c>
      <c r="S204" s="2" t="s">
        <v>38</v>
      </c>
      <c r="T204" s="2" t="s">
        <v>39</v>
      </c>
      <c r="U204" s="2" t="s">
        <v>40</v>
      </c>
      <c r="V204" s="3"/>
    </row>
    <row r="205" spans="1:22">
      <c r="A205" s="2">
        <v>204</v>
      </c>
      <c r="B205" s="3" t="s">
        <v>2082</v>
      </c>
      <c r="C205" s="3" t="s">
        <v>2113</v>
      </c>
      <c r="D205" s="3" t="s">
        <v>2114</v>
      </c>
      <c r="E205" s="2" t="s">
        <v>103</v>
      </c>
      <c r="F205" s="2" t="s">
        <v>26</v>
      </c>
      <c r="G205" s="3" t="s">
        <v>2115</v>
      </c>
      <c r="H205" s="2" t="s">
        <v>2116</v>
      </c>
      <c r="I205" s="3" t="s">
        <v>29</v>
      </c>
      <c r="J205" s="3" t="s">
        <v>2117</v>
      </c>
      <c r="K205" s="3" t="s">
        <v>47</v>
      </c>
      <c r="L205" s="3" t="s">
        <v>145</v>
      </c>
      <c r="M205" s="3" t="s">
        <v>2118</v>
      </c>
      <c r="N205" s="3" t="s">
        <v>2119</v>
      </c>
      <c r="O205" s="3" t="s">
        <v>2120</v>
      </c>
      <c r="P205" s="3" t="s">
        <v>2121</v>
      </c>
      <c r="Q205" s="3" t="s">
        <v>2122</v>
      </c>
      <c r="R205" s="3" t="s">
        <v>2122</v>
      </c>
      <c r="S205" s="2" t="s">
        <v>38</v>
      </c>
      <c r="T205" s="2" t="s">
        <v>39</v>
      </c>
      <c r="U205" s="2" t="s">
        <v>40</v>
      </c>
      <c r="V205" s="3"/>
    </row>
    <row r="206" spans="1:22">
      <c r="A206" s="2">
        <v>205</v>
      </c>
      <c r="B206" s="3" t="s">
        <v>2082</v>
      </c>
      <c r="C206" s="3" t="s">
        <v>2123</v>
      </c>
      <c r="D206" s="3" t="s">
        <v>2124</v>
      </c>
      <c r="E206" s="2" t="s">
        <v>506</v>
      </c>
      <c r="F206" s="2" t="s">
        <v>43</v>
      </c>
      <c r="G206" s="3" t="s">
        <v>2125</v>
      </c>
      <c r="H206" s="2" t="s">
        <v>2126</v>
      </c>
      <c r="I206" s="3" t="s">
        <v>29</v>
      </c>
      <c r="J206" s="3" t="s">
        <v>2127</v>
      </c>
      <c r="K206" s="3" t="s">
        <v>272</v>
      </c>
      <c r="L206" s="3" t="s">
        <v>108</v>
      </c>
      <c r="M206" s="3" t="s">
        <v>2128</v>
      </c>
      <c r="N206" s="3" t="s">
        <v>2129</v>
      </c>
      <c r="O206" s="3" t="s">
        <v>2130</v>
      </c>
      <c r="P206" s="3" t="s">
        <v>2131</v>
      </c>
      <c r="Q206" s="3" t="s">
        <v>2132</v>
      </c>
      <c r="R206" s="3" t="s">
        <v>2132</v>
      </c>
      <c r="S206" s="2" t="s">
        <v>38</v>
      </c>
      <c r="T206" s="2" t="s">
        <v>39</v>
      </c>
      <c r="U206" s="2" t="s">
        <v>40</v>
      </c>
      <c r="V206" s="3"/>
    </row>
    <row r="207" spans="1:22">
      <c r="A207" s="2">
        <v>206</v>
      </c>
      <c r="B207" s="3" t="s">
        <v>2082</v>
      </c>
      <c r="C207" s="3" t="s">
        <v>2133</v>
      </c>
      <c r="D207" s="3" t="s">
        <v>2134</v>
      </c>
      <c r="E207" s="2" t="s">
        <v>81</v>
      </c>
      <c r="F207" s="2" t="s">
        <v>43</v>
      </c>
      <c r="G207" s="3" t="s">
        <v>2135</v>
      </c>
      <c r="H207" s="2" t="s">
        <v>2136</v>
      </c>
      <c r="I207" s="3" t="s">
        <v>29</v>
      </c>
      <c r="J207" s="3" t="s">
        <v>2137</v>
      </c>
      <c r="K207" s="3" t="s">
        <v>47</v>
      </c>
      <c r="L207" s="3" t="s">
        <v>108</v>
      </c>
      <c r="M207" s="3" t="s">
        <v>2138</v>
      </c>
      <c r="N207" s="3" t="s">
        <v>2139</v>
      </c>
      <c r="O207" s="3" t="s">
        <v>2140</v>
      </c>
      <c r="P207" s="3" t="s">
        <v>2141</v>
      </c>
      <c r="Q207" s="3" t="s">
        <v>2142</v>
      </c>
      <c r="R207" s="3" t="s">
        <v>2142</v>
      </c>
      <c r="S207" s="2" t="s">
        <v>38</v>
      </c>
      <c r="T207" s="2" t="s">
        <v>39</v>
      </c>
      <c r="U207" s="2" t="s">
        <v>40</v>
      </c>
      <c r="V207" s="3"/>
    </row>
    <row r="208" spans="1:22">
      <c r="A208" s="2">
        <v>207</v>
      </c>
      <c r="B208" s="3" t="s">
        <v>2082</v>
      </c>
      <c r="C208" s="3" t="s">
        <v>2143</v>
      </c>
      <c r="D208" s="3" t="s">
        <v>2144</v>
      </c>
      <c r="E208" s="2" t="s">
        <v>103</v>
      </c>
      <c r="F208" s="2" t="s">
        <v>26</v>
      </c>
      <c r="G208" s="3" t="s">
        <v>2145</v>
      </c>
      <c r="H208" s="2" t="s">
        <v>2146</v>
      </c>
      <c r="I208" s="3" t="s">
        <v>29</v>
      </c>
      <c r="J208" s="3" t="s">
        <v>2147</v>
      </c>
      <c r="K208" s="3" t="s">
        <v>31</v>
      </c>
      <c r="L208" s="3" t="s">
        <v>108</v>
      </c>
      <c r="M208" s="3" t="s">
        <v>2148</v>
      </c>
      <c r="N208" s="3" t="s">
        <v>2149</v>
      </c>
      <c r="O208" s="3" t="s">
        <v>2150</v>
      </c>
      <c r="P208" s="3" t="s">
        <v>2151</v>
      </c>
      <c r="Q208" s="3" t="s">
        <v>2152</v>
      </c>
      <c r="R208" s="3" t="s">
        <v>2152</v>
      </c>
      <c r="S208" s="2" t="s">
        <v>38</v>
      </c>
      <c r="T208" s="2" t="s">
        <v>39</v>
      </c>
      <c r="U208" s="2" t="s">
        <v>40</v>
      </c>
      <c r="V208" s="3"/>
    </row>
    <row r="209" spans="1:22">
      <c r="A209" s="2">
        <v>208</v>
      </c>
      <c r="B209" s="3" t="s">
        <v>2082</v>
      </c>
      <c r="C209" s="3" t="s">
        <v>2153</v>
      </c>
      <c r="D209" s="3" t="s">
        <v>2154</v>
      </c>
      <c r="E209" s="2" t="s">
        <v>984</v>
      </c>
      <c r="F209" s="2" t="s">
        <v>26</v>
      </c>
      <c r="G209" s="3" t="s">
        <v>2155</v>
      </c>
      <c r="H209" s="2" t="s">
        <v>2156</v>
      </c>
      <c r="I209" s="3" t="s">
        <v>29</v>
      </c>
      <c r="J209" s="3" t="s">
        <v>2157</v>
      </c>
      <c r="K209" s="3" t="s">
        <v>47</v>
      </c>
      <c r="L209" s="3" t="s">
        <v>132</v>
      </c>
      <c r="M209" s="3" t="s">
        <v>2158</v>
      </c>
      <c r="N209" s="3" t="s">
        <v>2159</v>
      </c>
      <c r="O209" s="3" t="s">
        <v>2160</v>
      </c>
      <c r="P209" s="3" t="s">
        <v>2161</v>
      </c>
      <c r="Q209" s="3" t="s">
        <v>2162</v>
      </c>
      <c r="R209" s="3" t="s">
        <v>2162</v>
      </c>
      <c r="S209" s="2" t="s">
        <v>38</v>
      </c>
      <c r="T209" s="2" t="s">
        <v>39</v>
      </c>
      <c r="U209" s="2" t="s">
        <v>40</v>
      </c>
      <c r="V209" s="3"/>
    </row>
    <row r="210" spans="1:22">
      <c r="A210" s="2">
        <v>209</v>
      </c>
      <c r="B210" s="3" t="s">
        <v>2082</v>
      </c>
      <c r="C210" s="3" t="s">
        <v>2163</v>
      </c>
      <c r="D210" s="3" t="s">
        <v>2164</v>
      </c>
      <c r="E210" s="2" t="s">
        <v>506</v>
      </c>
      <c r="F210" s="2" t="s">
        <v>43</v>
      </c>
      <c r="G210" s="3" t="s">
        <v>2165</v>
      </c>
      <c r="H210" s="2" t="s">
        <v>2166</v>
      </c>
      <c r="I210" s="3" t="s">
        <v>29</v>
      </c>
      <c r="J210" s="3" t="s">
        <v>2167</v>
      </c>
      <c r="K210" s="3" t="s">
        <v>47</v>
      </c>
      <c r="L210" s="3" t="s">
        <v>145</v>
      </c>
      <c r="M210" s="3" t="s">
        <v>2168</v>
      </c>
      <c r="N210" s="3" t="s">
        <v>2169</v>
      </c>
      <c r="O210" s="3" t="s">
        <v>2170</v>
      </c>
      <c r="P210" s="3" t="s">
        <v>2171</v>
      </c>
      <c r="Q210" s="3" t="s">
        <v>2172</v>
      </c>
      <c r="R210" s="3" t="s">
        <v>2172</v>
      </c>
      <c r="S210" s="2" t="s">
        <v>38</v>
      </c>
      <c r="T210" s="2" t="s">
        <v>39</v>
      </c>
      <c r="U210" s="2" t="s">
        <v>40</v>
      </c>
      <c r="V210" s="3"/>
    </row>
    <row r="211" spans="1:22">
      <c r="A211" s="2">
        <v>210</v>
      </c>
      <c r="B211" s="3" t="s">
        <v>2082</v>
      </c>
      <c r="C211" s="3" t="s">
        <v>2173</v>
      </c>
      <c r="D211" s="3" t="s">
        <v>2174</v>
      </c>
      <c r="E211" s="2" t="s">
        <v>81</v>
      </c>
      <c r="F211" s="2" t="s">
        <v>43</v>
      </c>
      <c r="G211" s="3" t="s">
        <v>2175</v>
      </c>
      <c r="H211" s="2" t="s">
        <v>2176</v>
      </c>
      <c r="I211" s="3" t="s">
        <v>29</v>
      </c>
      <c r="J211" s="3" t="s">
        <v>2177</v>
      </c>
      <c r="K211" s="3" t="s">
        <v>47</v>
      </c>
      <c r="L211" s="3" t="s">
        <v>145</v>
      </c>
      <c r="M211" s="3" t="s">
        <v>2178</v>
      </c>
      <c r="N211" s="3" t="s">
        <v>2179</v>
      </c>
      <c r="O211" s="3" t="s">
        <v>2180</v>
      </c>
      <c r="P211" s="3" t="s">
        <v>2181</v>
      </c>
      <c r="Q211" s="3" t="s">
        <v>2182</v>
      </c>
      <c r="R211" s="3" t="s">
        <v>2182</v>
      </c>
      <c r="S211" s="2" t="s">
        <v>38</v>
      </c>
      <c r="T211" s="2" t="s">
        <v>39</v>
      </c>
      <c r="U211" s="2" t="s">
        <v>40</v>
      </c>
      <c r="V211" s="3"/>
    </row>
    <row r="212" spans="1:22">
      <c r="A212" s="2">
        <v>211</v>
      </c>
      <c r="B212" s="3" t="s">
        <v>2082</v>
      </c>
      <c r="C212" s="3" t="s">
        <v>2183</v>
      </c>
      <c r="D212" s="3" t="s">
        <v>2184</v>
      </c>
      <c r="E212" s="2" t="s">
        <v>257</v>
      </c>
      <c r="F212" s="2" t="s">
        <v>43</v>
      </c>
      <c r="G212" s="3" t="s">
        <v>2185</v>
      </c>
      <c r="H212" s="2" t="s">
        <v>2186</v>
      </c>
      <c r="I212" s="3" t="s">
        <v>29</v>
      </c>
      <c r="J212" s="3" t="s">
        <v>2187</v>
      </c>
      <c r="K212" s="3" t="s">
        <v>47</v>
      </c>
      <c r="L212" s="3" t="s">
        <v>145</v>
      </c>
      <c r="M212" s="3" t="s">
        <v>2188</v>
      </c>
      <c r="N212" s="3" t="s">
        <v>2189</v>
      </c>
      <c r="O212" s="3" t="s">
        <v>2190</v>
      </c>
      <c r="P212" s="3" t="s">
        <v>2191</v>
      </c>
      <c r="Q212" s="3" t="s">
        <v>2192</v>
      </c>
      <c r="R212" s="3" t="s">
        <v>2192</v>
      </c>
      <c r="S212" s="2" t="s">
        <v>38</v>
      </c>
      <c r="T212" s="2" t="s">
        <v>39</v>
      </c>
      <c r="U212" s="2" t="s">
        <v>40</v>
      </c>
      <c r="V212" s="3"/>
    </row>
    <row r="213" spans="1:22">
      <c r="A213" s="2">
        <v>212</v>
      </c>
      <c r="B213" s="3" t="s">
        <v>2082</v>
      </c>
      <c r="C213" s="3" t="s">
        <v>2193</v>
      </c>
      <c r="D213" s="3" t="s">
        <v>2194</v>
      </c>
      <c r="E213" s="2" t="s">
        <v>81</v>
      </c>
      <c r="F213" s="2" t="s">
        <v>43</v>
      </c>
      <c r="G213" s="3" t="s">
        <v>2195</v>
      </c>
      <c r="H213" s="2" t="s">
        <v>2196</v>
      </c>
      <c r="I213" s="3" t="s">
        <v>29</v>
      </c>
      <c r="J213" s="3" t="s">
        <v>2197</v>
      </c>
      <c r="K213" s="3" t="s">
        <v>272</v>
      </c>
      <c r="L213" s="3" t="s">
        <v>167</v>
      </c>
      <c r="M213" s="3" t="s">
        <v>2198</v>
      </c>
      <c r="N213" s="3" t="s">
        <v>2199</v>
      </c>
      <c r="O213" s="3" t="s">
        <v>2200</v>
      </c>
      <c r="P213" s="3" t="s">
        <v>2201</v>
      </c>
      <c r="Q213" s="3" t="s">
        <v>2202</v>
      </c>
      <c r="R213" s="3" t="s">
        <v>2202</v>
      </c>
      <c r="S213" s="2" t="s">
        <v>38</v>
      </c>
      <c r="T213" s="2" t="s">
        <v>39</v>
      </c>
      <c r="U213" s="2" t="s">
        <v>40</v>
      </c>
      <c r="V213" s="3"/>
    </row>
    <row r="214" spans="1:22">
      <c r="A214" s="2">
        <v>213</v>
      </c>
      <c r="B214" s="3" t="s">
        <v>2082</v>
      </c>
      <c r="C214" s="3" t="s">
        <v>2203</v>
      </c>
      <c r="D214" s="3" t="s">
        <v>2204</v>
      </c>
      <c r="E214" s="2" t="s">
        <v>621</v>
      </c>
      <c r="F214" s="2" t="s">
        <v>43</v>
      </c>
      <c r="G214" s="3" t="s">
        <v>2205</v>
      </c>
      <c r="H214" s="2" t="s">
        <v>2206</v>
      </c>
      <c r="I214" s="3" t="s">
        <v>29</v>
      </c>
      <c r="J214" s="3" t="s">
        <v>2207</v>
      </c>
      <c r="K214" s="3" t="s">
        <v>272</v>
      </c>
      <c r="L214" s="3" t="s">
        <v>156</v>
      </c>
      <c r="M214" s="3" t="s">
        <v>2208</v>
      </c>
      <c r="N214" s="3" t="s">
        <v>2209</v>
      </c>
      <c r="O214" s="3" t="s">
        <v>2210</v>
      </c>
      <c r="P214" s="3" t="s">
        <v>2211</v>
      </c>
      <c r="Q214" s="3" t="s">
        <v>2212</v>
      </c>
      <c r="R214" s="3" t="s">
        <v>2212</v>
      </c>
      <c r="S214" s="2" t="s">
        <v>38</v>
      </c>
      <c r="T214" s="2" t="s">
        <v>39</v>
      </c>
      <c r="U214" s="2" t="s">
        <v>40</v>
      </c>
      <c r="V214" s="3"/>
    </row>
    <row r="215" spans="1:22">
      <c r="A215" s="2">
        <v>214</v>
      </c>
      <c r="B215" s="3" t="s">
        <v>2082</v>
      </c>
      <c r="C215" s="3" t="s">
        <v>2213</v>
      </c>
      <c r="D215" s="3" t="s">
        <v>2214</v>
      </c>
      <c r="E215" s="2" t="s">
        <v>81</v>
      </c>
      <c r="F215" s="2" t="s">
        <v>43</v>
      </c>
      <c r="G215" s="3" t="s">
        <v>2215</v>
      </c>
      <c r="H215" s="2" t="s">
        <v>2216</v>
      </c>
      <c r="I215" s="3" t="s">
        <v>29</v>
      </c>
      <c r="J215" s="3" t="s">
        <v>2217</v>
      </c>
      <c r="K215" s="3" t="s">
        <v>47</v>
      </c>
      <c r="L215" s="3" t="s">
        <v>167</v>
      </c>
      <c r="M215" s="3" t="s">
        <v>2218</v>
      </c>
      <c r="N215" s="3" t="s">
        <v>2219</v>
      </c>
      <c r="O215" s="3" t="s">
        <v>2220</v>
      </c>
      <c r="P215" s="3" t="s">
        <v>2221</v>
      </c>
      <c r="Q215" s="3" t="s">
        <v>2222</v>
      </c>
      <c r="R215" s="3" t="s">
        <v>2222</v>
      </c>
      <c r="S215" s="2" t="s">
        <v>38</v>
      </c>
      <c r="T215" s="2" t="s">
        <v>39</v>
      </c>
      <c r="U215" s="2" t="s">
        <v>40</v>
      </c>
      <c r="V215" s="3"/>
    </row>
    <row r="216" spans="1:22">
      <c r="A216" s="2">
        <v>215</v>
      </c>
      <c r="B216" s="3" t="s">
        <v>2082</v>
      </c>
      <c r="C216" s="3" t="s">
        <v>2223</v>
      </c>
      <c r="D216" s="3" t="s">
        <v>2224</v>
      </c>
      <c r="E216" s="2" t="s">
        <v>773</v>
      </c>
      <c r="F216" s="2" t="s">
        <v>26</v>
      </c>
      <c r="G216" s="3" t="s">
        <v>2225</v>
      </c>
      <c r="H216" s="2" t="s">
        <v>2226</v>
      </c>
      <c r="I216" s="3" t="s">
        <v>29</v>
      </c>
      <c r="J216" s="3" t="s">
        <v>2227</v>
      </c>
      <c r="K216" s="3" t="s">
        <v>47</v>
      </c>
      <c r="L216" s="3" t="s">
        <v>323</v>
      </c>
      <c r="M216" s="3" t="s">
        <v>2228</v>
      </c>
      <c r="N216" s="3" t="s">
        <v>2229</v>
      </c>
      <c r="O216" s="3" t="s">
        <v>2230</v>
      </c>
      <c r="P216" s="3" t="s">
        <v>2231</v>
      </c>
      <c r="Q216" s="3" t="s">
        <v>2232</v>
      </c>
      <c r="R216" s="3" t="s">
        <v>2232</v>
      </c>
      <c r="S216" s="2" t="s">
        <v>38</v>
      </c>
      <c r="T216" s="2" t="s">
        <v>39</v>
      </c>
      <c r="U216" s="2" t="s">
        <v>40</v>
      </c>
      <c r="V216" s="3"/>
    </row>
    <row r="217" spans="1:22">
      <c r="A217" s="2">
        <v>216</v>
      </c>
      <c r="B217" s="3" t="s">
        <v>2082</v>
      </c>
      <c r="C217" s="3" t="s">
        <v>2233</v>
      </c>
      <c r="D217" s="3" t="s">
        <v>2234</v>
      </c>
      <c r="E217" s="2" t="s">
        <v>257</v>
      </c>
      <c r="F217" s="2" t="s">
        <v>26</v>
      </c>
      <c r="G217" s="3" t="s">
        <v>2235</v>
      </c>
      <c r="H217" s="2" t="s">
        <v>2236</v>
      </c>
      <c r="I217" s="3" t="s">
        <v>29</v>
      </c>
      <c r="J217" s="3" t="s">
        <v>2237</v>
      </c>
      <c r="K217" s="3" t="s">
        <v>47</v>
      </c>
      <c r="L217" s="3" t="s">
        <v>323</v>
      </c>
      <c r="M217" s="3" t="s">
        <v>2238</v>
      </c>
      <c r="N217" s="3" t="s">
        <v>2239</v>
      </c>
      <c r="O217" s="3" t="s">
        <v>2240</v>
      </c>
      <c r="P217" s="3" t="s">
        <v>2241</v>
      </c>
      <c r="Q217" s="3" t="s">
        <v>2242</v>
      </c>
      <c r="R217" s="3" t="s">
        <v>2242</v>
      </c>
      <c r="S217" s="2" t="s">
        <v>38</v>
      </c>
      <c r="T217" s="2" t="s">
        <v>39</v>
      </c>
      <c r="U217" s="2" t="s">
        <v>40</v>
      </c>
      <c r="V217" s="3"/>
    </row>
    <row r="218" spans="1:22">
      <c r="A218" s="2">
        <v>217</v>
      </c>
      <c r="B218" s="3" t="s">
        <v>2082</v>
      </c>
      <c r="C218" s="3" t="s">
        <v>2243</v>
      </c>
      <c r="D218" s="3" t="s">
        <v>2244</v>
      </c>
      <c r="E218" s="2" t="s">
        <v>56</v>
      </c>
      <c r="F218" s="2" t="s">
        <v>26</v>
      </c>
      <c r="G218" s="3" t="s">
        <v>2245</v>
      </c>
      <c r="H218" s="2" t="s">
        <v>2246</v>
      </c>
      <c r="I218" s="3" t="s">
        <v>29</v>
      </c>
      <c r="J218" s="3" t="s">
        <v>2247</v>
      </c>
      <c r="K218" s="3" t="s">
        <v>47</v>
      </c>
      <c r="L218" s="3" t="s">
        <v>132</v>
      </c>
      <c r="M218" s="3" t="s">
        <v>2248</v>
      </c>
      <c r="N218" s="3" t="s">
        <v>2249</v>
      </c>
      <c r="O218" s="3" t="s">
        <v>2250</v>
      </c>
      <c r="P218" s="3" t="s">
        <v>2251</v>
      </c>
      <c r="Q218" s="3" t="s">
        <v>2252</v>
      </c>
      <c r="R218" s="3" t="s">
        <v>2252</v>
      </c>
      <c r="S218" s="2" t="s">
        <v>38</v>
      </c>
      <c r="T218" s="2" t="s">
        <v>39</v>
      </c>
      <c r="U218" s="2" t="s">
        <v>40</v>
      </c>
      <c r="V218" s="3"/>
    </row>
    <row r="219" spans="1:22">
      <c r="A219" s="2">
        <v>218</v>
      </c>
      <c r="B219" s="3" t="s">
        <v>2082</v>
      </c>
      <c r="C219" s="3" t="s">
        <v>2253</v>
      </c>
      <c r="D219" s="3" t="s">
        <v>2254</v>
      </c>
      <c r="E219" s="2" t="s">
        <v>773</v>
      </c>
      <c r="F219" s="2" t="s">
        <v>43</v>
      </c>
      <c r="G219" s="3" t="s">
        <v>2255</v>
      </c>
      <c r="H219" s="2" t="s">
        <v>2256</v>
      </c>
      <c r="I219" s="3" t="s">
        <v>29</v>
      </c>
      <c r="J219" s="3" t="s">
        <v>2257</v>
      </c>
      <c r="K219" s="3" t="s">
        <v>47</v>
      </c>
      <c r="L219" s="3" t="s">
        <v>145</v>
      </c>
      <c r="M219" s="3" t="s">
        <v>2258</v>
      </c>
      <c r="N219" s="3" t="s">
        <v>2259</v>
      </c>
      <c r="O219" s="3" t="s">
        <v>2260</v>
      </c>
      <c r="P219" s="3" t="s">
        <v>2261</v>
      </c>
      <c r="Q219" s="3" t="s">
        <v>2262</v>
      </c>
      <c r="R219" s="3" t="s">
        <v>2262</v>
      </c>
      <c r="S219" s="2" t="s">
        <v>38</v>
      </c>
      <c r="T219" s="2" t="s">
        <v>39</v>
      </c>
      <c r="U219" s="2" t="s">
        <v>40</v>
      </c>
      <c r="V219" s="3"/>
    </row>
    <row r="220" spans="1:22">
      <c r="A220" s="2">
        <v>219</v>
      </c>
      <c r="B220" s="3" t="s">
        <v>2082</v>
      </c>
      <c r="C220" s="3" t="s">
        <v>2263</v>
      </c>
      <c r="D220" s="3" t="s">
        <v>2264</v>
      </c>
      <c r="E220" s="2" t="s">
        <v>404</v>
      </c>
      <c r="F220" s="2" t="s">
        <v>43</v>
      </c>
      <c r="G220" s="3" t="s">
        <v>2265</v>
      </c>
      <c r="H220" s="2" t="s">
        <v>2266</v>
      </c>
      <c r="I220" s="3" t="s">
        <v>29</v>
      </c>
      <c r="J220" s="3" t="s">
        <v>2267</v>
      </c>
      <c r="K220" s="3" t="s">
        <v>47</v>
      </c>
      <c r="L220" s="3" t="s">
        <v>145</v>
      </c>
      <c r="M220" s="3" t="s">
        <v>2268</v>
      </c>
      <c r="N220" s="3" t="s">
        <v>2269</v>
      </c>
      <c r="O220" s="3" t="s">
        <v>2270</v>
      </c>
      <c r="P220" s="3" t="s">
        <v>2271</v>
      </c>
      <c r="Q220" s="3" t="s">
        <v>2272</v>
      </c>
      <c r="R220" s="3" t="s">
        <v>2272</v>
      </c>
      <c r="S220" s="2" t="s">
        <v>38</v>
      </c>
      <c r="T220" s="2" t="s">
        <v>39</v>
      </c>
      <c r="U220" s="2" t="s">
        <v>40</v>
      </c>
      <c r="V220" s="3"/>
    </row>
    <row r="221" spans="1:22">
      <c r="A221" s="2">
        <v>220</v>
      </c>
      <c r="B221" s="3" t="s">
        <v>2082</v>
      </c>
      <c r="C221" s="3" t="s">
        <v>2273</v>
      </c>
      <c r="D221" s="3" t="s">
        <v>2274</v>
      </c>
      <c r="E221" s="2" t="s">
        <v>257</v>
      </c>
      <c r="F221" s="2" t="s">
        <v>43</v>
      </c>
      <c r="G221" s="3" t="s">
        <v>2275</v>
      </c>
      <c r="H221" s="2" t="s">
        <v>2276</v>
      </c>
      <c r="I221" s="3" t="s">
        <v>29</v>
      </c>
      <c r="J221" s="3" t="s">
        <v>2277</v>
      </c>
      <c r="K221" s="3" t="s">
        <v>95</v>
      </c>
      <c r="L221" s="3" t="s">
        <v>323</v>
      </c>
      <c r="M221" s="3" t="s">
        <v>2278</v>
      </c>
      <c r="N221" s="3" t="s">
        <v>2279</v>
      </c>
      <c r="O221" s="3" t="s">
        <v>2280</v>
      </c>
      <c r="P221" s="3" t="s">
        <v>2281</v>
      </c>
      <c r="Q221" s="3" t="s">
        <v>2282</v>
      </c>
      <c r="R221" s="3" t="s">
        <v>2282</v>
      </c>
      <c r="S221" s="2" t="s">
        <v>38</v>
      </c>
      <c r="T221" s="2" t="s">
        <v>39</v>
      </c>
      <c r="U221" s="2" t="s">
        <v>40</v>
      </c>
      <c r="V221" s="3"/>
    </row>
    <row r="222" spans="1:22">
      <c r="A222" s="2">
        <v>221</v>
      </c>
      <c r="B222" s="3" t="s">
        <v>2082</v>
      </c>
      <c r="C222" s="3" t="s">
        <v>2283</v>
      </c>
      <c r="D222" s="3" t="s">
        <v>2284</v>
      </c>
      <c r="E222" s="2" t="s">
        <v>185</v>
      </c>
      <c r="F222" s="2" t="s">
        <v>26</v>
      </c>
      <c r="G222" s="3" t="s">
        <v>2285</v>
      </c>
      <c r="H222" s="2" t="s">
        <v>2286</v>
      </c>
      <c r="I222" s="3" t="s">
        <v>29</v>
      </c>
      <c r="J222" s="3" t="s">
        <v>2287</v>
      </c>
      <c r="K222" s="3" t="s">
        <v>47</v>
      </c>
      <c r="L222" s="3" t="s">
        <v>293</v>
      </c>
      <c r="M222" s="3" t="s">
        <v>2288</v>
      </c>
      <c r="N222" s="3" t="s">
        <v>2289</v>
      </c>
      <c r="O222" s="3" t="s">
        <v>2290</v>
      </c>
      <c r="P222" s="3" t="s">
        <v>2291</v>
      </c>
      <c r="Q222" s="3" t="s">
        <v>2292</v>
      </c>
      <c r="R222" s="3" t="s">
        <v>2292</v>
      </c>
      <c r="S222" s="2" t="s">
        <v>38</v>
      </c>
      <c r="T222" s="2" t="s">
        <v>39</v>
      </c>
      <c r="U222" s="2" t="s">
        <v>40</v>
      </c>
      <c r="V222" s="3"/>
    </row>
    <row r="223" spans="1:22">
      <c r="A223" s="2">
        <v>222</v>
      </c>
      <c r="B223" s="3" t="s">
        <v>2082</v>
      </c>
      <c r="C223" s="3" t="s">
        <v>2293</v>
      </c>
      <c r="D223" s="3" t="s">
        <v>2294</v>
      </c>
      <c r="E223" s="2" t="s">
        <v>56</v>
      </c>
      <c r="F223" s="2" t="s">
        <v>43</v>
      </c>
      <c r="G223" s="3" t="s">
        <v>2295</v>
      </c>
      <c r="H223" s="2" t="s">
        <v>2296</v>
      </c>
      <c r="I223" s="3" t="s">
        <v>29</v>
      </c>
      <c r="J223" s="3" t="s">
        <v>2297</v>
      </c>
      <c r="K223" s="3" t="s">
        <v>47</v>
      </c>
      <c r="L223" s="3" t="s">
        <v>156</v>
      </c>
      <c r="M223" s="3" t="s">
        <v>2298</v>
      </c>
      <c r="N223" s="3" t="s">
        <v>2299</v>
      </c>
      <c r="O223" s="3" t="s">
        <v>2300</v>
      </c>
      <c r="P223" s="3" t="s">
        <v>2301</v>
      </c>
      <c r="Q223" s="3" t="s">
        <v>2302</v>
      </c>
      <c r="R223" s="3" t="s">
        <v>2302</v>
      </c>
      <c r="S223" s="2" t="s">
        <v>38</v>
      </c>
      <c r="T223" s="2" t="s">
        <v>39</v>
      </c>
      <c r="U223" s="2" t="s">
        <v>40</v>
      </c>
      <c r="V223" s="3"/>
    </row>
    <row r="224" spans="1:22">
      <c r="A224" s="2">
        <v>223</v>
      </c>
      <c r="B224" s="3" t="s">
        <v>2082</v>
      </c>
      <c r="C224" s="3" t="s">
        <v>2303</v>
      </c>
      <c r="D224" s="3" t="s">
        <v>2304</v>
      </c>
      <c r="E224" s="2" t="s">
        <v>81</v>
      </c>
      <c r="F224" s="2" t="s">
        <v>43</v>
      </c>
      <c r="G224" s="3" t="s">
        <v>2305</v>
      </c>
      <c r="H224" s="2" t="s">
        <v>2306</v>
      </c>
      <c r="I224" s="3" t="s">
        <v>29</v>
      </c>
      <c r="J224" s="3" t="s">
        <v>2307</v>
      </c>
      <c r="K224" s="3" t="s">
        <v>47</v>
      </c>
      <c r="L224" s="3" t="s">
        <v>73</v>
      </c>
      <c r="M224" s="3" t="s">
        <v>1776</v>
      </c>
      <c r="N224" s="3" t="s">
        <v>2308</v>
      </c>
      <c r="O224" s="3" t="s">
        <v>2309</v>
      </c>
      <c r="P224" s="3" t="s">
        <v>2310</v>
      </c>
      <c r="Q224" s="3" t="s">
        <v>2311</v>
      </c>
      <c r="R224" s="3" t="s">
        <v>2311</v>
      </c>
      <c r="S224" s="2" t="s">
        <v>38</v>
      </c>
      <c r="T224" s="2" t="s">
        <v>39</v>
      </c>
      <c r="U224" s="2" t="s">
        <v>40</v>
      </c>
      <c r="V224" s="3"/>
    </row>
    <row r="225" spans="1:22">
      <c r="A225" s="2">
        <v>224</v>
      </c>
      <c r="B225" s="3" t="s">
        <v>2082</v>
      </c>
      <c r="C225" s="3" t="s">
        <v>2312</v>
      </c>
      <c r="D225" s="3" t="s">
        <v>2313</v>
      </c>
      <c r="E225" s="2" t="s">
        <v>506</v>
      </c>
      <c r="F225" s="2" t="s">
        <v>43</v>
      </c>
      <c r="G225" s="3" t="s">
        <v>2314</v>
      </c>
      <c r="H225" s="2" t="s">
        <v>2315</v>
      </c>
      <c r="I225" s="3" t="s">
        <v>29</v>
      </c>
      <c r="J225" s="3" t="s">
        <v>2316</v>
      </c>
      <c r="K225" s="3" t="s">
        <v>31</v>
      </c>
      <c r="L225" s="3" t="s">
        <v>145</v>
      </c>
      <c r="M225" s="3" t="s">
        <v>2317</v>
      </c>
      <c r="N225" s="3" t="s">
        <v>2318</v>
      </c>
      <c r="O225" s="3" t="s">
        <v>2319</v>
      </c>
      <c r="P225" s="3" t="s">
        <v>2320</v>
      </c>
      <c r="Q225" s="3" t="s">
        <v>2321</v>
      </c>
      <c r="R225" s="3" t="s">
        <v>2321</v>
      </c>
      <c r="S225" s="2" t="s">
        <v>38</v>
      </c>
      <c r="T225" s="2" t="s">
        <v>39</v>
      </c>
      <c r="U225" s="2" t="s">
        <v>40</v>
      </c>
      <c r="V225" s="3"/>
    </row>
    <row r="226" spans="1:22">
      <c r="A226" s="2">
        <v>225</v>
      </c>
      <c r="B226" s="3" t="s">
        <v>2082</v>
      </c>
      <c r="C226" s="3" t="s">
        <v>2322</v>
      </c>
      <c r="D226" s="3" t="s">
        <v>2323</v>
      </c>
      <c r="E226" s="2" t="s">
        <v>25</v>
      </c>
      <c r="F226" s="2" t="s">
        <v>43</v>
      </c>
      <c r="G226" s="3" t="s">
        <v>2324</v>
      </c>
      <c r="H226" s="2" t="s">
        <v>2325</v>
      </c>
      <c r="I226" s="3" t="s">
        <v>29</v>
      </c>
      <c r="J226" s="3" t="s">
        <v>2326</v>
      </c>
      <c r="K226" s="3" t="s">
        <v>47</v>
      </c>
      <c r="L226" s="3" t="s">
        <v>448</v>
      </c>
      <c r="M226" s="3" t="s">
        <v>2327</v>
      </c>
      <c r="N226" s="3" t="s">
        <v>2328</v>
      </c>
      <c r="O226" s="3" t="s">
        <v>2329</v>
      </c>
      <c r="P226" s="3" t="s">
        <v>2330</v>
      </c>
      <c r="Q226" s="3" t="s">
        <v>2331</v>
      </c>
      <c r="R226" s="3" t="s">
        <v>2331</v>
      </c>
      <c r="S226" s="2" t="s">
        <v>38</v>
      </c>
      <c r="T226" s="2" t="s">
        <v>39</v>
      </c>
      <c r="U226" s="2" t="s">
        <v>40</v>
      </c>
      <c r="V226" s="3"/>
    </row>
    <row r="227" spans="1:22">
      <c r="A227" s="2">
        <v>226</v>
      </c>
      <c r="B227" s="3" t="s">
        <v>2082</v>
      </c>
      <c r="C227" s="3" t="s">
        <v>2332</v>
      </c>
      <c r="D227" s="3" t="s">
        <v>2333</v>
      </c>
      <c r="E227" s="2" t="s">
        <v>506</v>
      </c>
      <c r="F227" s="2" t="s">
        <v>43</v>
      </c>
      <c r="G227" s="3" t="s">
        <v>2334</v>
      </c>
      <c r="H227" s="2" t="s">
        <v>2335</v>
      </c>
      <c r="I227" s="3" t="s">
        <v>29</v>
      </c>
      <c r="J227" s="3" t="s">
        <v>2336</v>
      </c>
      <c r="K227" s="3" t="s">
        <v>47</v>
      </c>
      <c r="L227" s="3" t="s">
        <v>167</v>
      </c>
      <c r="M227" s="3" t="s">
        <v>2337</v>
      </c>
      <c r="N227" s="3" t="s">
        <v>2338</v>
      </c>
      <c r="O227" s="3" t="s">
        <v>2339</v>
      </c>
      <c r="P227" s="3" t="s">
        <v>2340</v>
      </c>
      <c r="Q227" s="3" t="s">
        <v>2341</v>
      </c>
      <c r="R227" s="3" t="s">
        <v>2341</v>
      </c>
      <c r="S227" s="2" t="s">
        <v>38</v>
      </c>
      <c r="T227" s="2" t="s">
        <v>39</v>
      </c>
      <c r="U227" s="2" t="s">
        <v>40</v>
      </c>
      <c r="V227" s="3"/>
    </row>
    <row r="228" spans="1:22">
      <c r="A228" s="2">
        <v>227</v>
      </c>
      <c r="B228" s="3" t="s">
        <v>2082</v>
      </c>
      <c r="C228" s="3" t="s">
        <v>2342</v>
      </c>
      <c r="D228" s="3" t="s">
        <v>2343</v>
      </c>
      <c r="E228" s="2" t="s">
        <v>116</v>
      </c>
      <c r="F228" s="2" t="s">
        <v>26</v>
      </c>
      <c r="G228" s="3" t="s">
        <v>2344</v>
      </c>
      <c r="H228" s="2" t="s">
        <v>2345</v>
      </c>
      <c r="I228" s="3" t="s">
        <v>29</v>
      </c>
      <c r="J228" s="3" t="s">
        <v>2346</v>
      </c>
      <c r="K228" s="3" t="s">
        <v>47</v>
      </c>
      <c r="L228" s="3" t="s">
        <v>167</v>
      </c>
      <c r="M228" s="3" t="s">
        <v>2347</v>
      </c>
      <c r="N228" s="3" t="s">
        <v>2348</v>
      </c>
      <c r="O228" s="3" t="s">
        <v>2349</v>
      </c>
      <c r="P228" s="3" t="s">
        <v>2350</v>
      </c>
      <c r="Q228" s="3" t="s">
        <v>2351</v>
      </c>
      <c r="R228" s="3" t="s">
        <v>2351</v>
      </c>
      <c r="S228" s="2" t="s">
        <v>38</v>
      </c>
      <c r="T228" s="2" t="s">
        <v>39</v>
      </c>
      <c r="U228" s="2" t="s">
        <v>40</v>
      </c>
      <c r="V228" s="3"/>
    </row>
    <row r="229" spans="1:22">
      <c r="A229" s="2">
        <v>228</v>
      </c>
      <c r="B229" s="3" t="s">
        <v>2082</v>
      </c>
      <c r="C229" s="3" t="s">
        <v>2352</v>
      </c>
      <c r="D229" s="3" t="s">
        <v>2353</v>
      </c>
      <c r="E229" s="2" t="s">
        <v>913</v>
      </c>
      <c r="F229" s="2" t="s">
        <v>26</v>
      </c>
      <c r="G229" s="3" t="s">
        <v>2354</v>
      </c>
      <c r="H229" s="2" t="s">
        <v>2355</v>
      </c>
      <c r="I229" s="3" t="s">
        <v>29</v>
      </c>
      <c r="J229" s="3" t="s">
        <v>2356</v>
      </c>
      <c r="K229" s="3" t="s">
        <v>272</v>
      </c>
      <c r="L229" s="3" t="s">
        <v>323</v>
      </c>
      <c r="M229" s="3" t="s">
        <v>2357</v>
      </c>
      <c r="N229" s="3" t="s">
        <v>2358</v>
      </c>
      <c r="O229" s="3" t="s">
        <v>2359</v>
      </c>
      <c r="P229" s="3" t="s">
        <v>2360</v>
      </c>
      <c r="Q229" s="3" t="s">
        <v>2361</v>
      </c>
      <c r="R229" s="3" t="s">
        <v>2361</v>
      </c>
      <c r="S229" s="2" t="s">
        <v>38</v>
      </c>
      <c r="T229" s="2" t="s">
        <v>39</v>
      </c>
      <c r="U229" s="2" t="s">
        <v>40</v>
      </c>
      <c r="V229" s="3"/>
    </row>
    <row r="230" spans="1:22">
      <c r="A230" s="2">
        <v>229</v>
      </c>
      <c r="B230" s="3" t="s">
        <v>2082</v>
      </c>
      <c r="C230" s="3" t="s">
        <v>2362</v>
      </c>
      <c r="D230" s="3" t="s">
        <v>2363</v>
      </c>
      <c r="E230" s="2" t="s">
        <v>506</v>
      </c>
      <c r="F230" s="2" t="s">
        <v>26</v>
      </c>
      <c r="G230" s="3" t="s">
        <v>2364</v>
      </c>
      <c r="H230" s="2" t="s">
        <v>2365</v>
      </c>
      <c r="I230" s="3" t="s">
        <v>29</v>
      </c>
      <c r="J230" s="3" t="s">
        <v>2366</v>
      </c>
      <c r="K230" s="3" t="s">
        <v>47</v>
      </c>
      <c r="L230" s="3" t="s">
        <v>32</v>
      </c>
      <c r="M230" s="3" t="s">
        <v>2367</v>
      </c>
      <c r="N230" s="3" t="s">
        <v>2368</v>
      </c>
      <c r="O230" s="3" t="s">
        <v>2369</v>
      </c>
      <c r="P230" s="3" t="s">
        <v>2370</v>
      </c>
      <c r="Q230" s="3" t="s">
        <v>2371</v>
      </c>
      <c r="R230" s="3" t="s">
        <v>2371</v>
      </c>
      <c r="S230" s="2" t="s">
        <v>38</v>
      </c>
      <c r="T230" s="2" t="s">
        <v>39</v>
      </c>
      <c r="U230" s="2" t="s">
        <v>40</v>
      </c>
      <c r="V230" s="3"/>
    </row>
    <row r="231" spans="1:22">
      <c r="A231" s="2">
        <v>230</v>
      </c>
      <c r="B231" s="3" t="s">
        <v>2082</v>
      </c>
      <c r="C231" s="3" t="s">
        <v>2372</v>
      </c>
      <c r="D231" s="3" t="s">
        <v>2373</v>
      </c>
      <c r="E231" s="2" t="s">
        <v>56</v>
      </c>
      <c r="F231" s="2" t="s">
        <v>43</v>
      </c>
      <c r="G231" s="3" t="s">
        <v>2374</v>
      </c>
      <c r="H231" s="2" t="s">
        <v>2375</v>
      </c>
      <c r="I231" s="3" t="s">
        <v>29</v>
      </c>
      <c r="J231" s="3" t="s">
        <v>2376</v>
      </c>
      <c r="K231" s="3" t="s">
        <v>272</v>
      </c>
      <c r="L231" s="3" t="s">
        <v>132</v>
      </c>
      <c r="M231" s="3" t="s">
        <v>2377</v>
      </c>
      <c r="N231" s="3" t="s">
        <v>2378</v>
      </c>
      <c r="O231" s="3" t="s">
        <v>2379</v>
      </c>
      <c r="P231" s="3" t="s">
        <v>2380</v>
      </c>
      <c r="Q231" s="3" t="s">
        <v>2381</v>
      </c>
      <c r="R231" s="3" t="s">
        <v>2381</v>
      </c>
      <c r="S231" s="2" t="s">
        <v>38</v>
      </c>
      <c r="T231" s="2" t="s">
        <v>39</v>
      </c>
      <c r="U231" s="2" t="s">
        <v>40</v>
      </c>
      <c r="V231" s="3"/>
    </row>
    <row r="232" spans="1:22">
      <c r="A232" s="2">
        <v>231</v>
      </c>
      <c r="B232" s="3" t="s">
        <v>2082</v>
      </c>
      <c r="C232" s="3" t="s">
        <v>2382</v>
      </c>
      <c r="D232" s="3" t="s">
        <v>2383</v>
      </c>
      <c r="E232" s="2" t="s">
        <v>257</v>
      </c>
      <c r="F232" s="2" t="s">
        <v>26</v>
      </c>
      <c r="G232" s="3" t="s">
        <v>2384</v>
      </c>
      <c r="H232" s="2" t="s">
        <v>2385</v>
      </c>
      <c r="I232" s="3" t="s">
        <v>29</v>
      </c>
      <c r="J232" s="3" t="s">
        <v>2386</v>
      </c>
      <c r="K232" s="3" t="s">
        <v>47</v>
      </c>
      <c r="L232" s="3" t="s">
        <v>293</v>
      </c>
      <c r="M232" s="3" t="s">
        <v>2387</v>
      </c>
      <c r="N232" s="3" t="s">
        <v>2388</v>
      </c>
      <c r="O232" s="3" t="s">
        <v>2389</v>
      </c>
      <c r="P232" s="3" t="s">
        <v>2390</v>
      </c>
      <c r="Q232" s="3" t="s">
        <v>2391</v>
      </c>
      <c r="R232" s="3" t="s">
        <v>2391</v>
      </c>
      <c r="S232" s="2" t="s">
        <v>38</v>
      </c>
      <c r="T232" s="2" t="s">
        <v>39</v>
      </c>
      <c r="U232" s="2" t="s">
        <v>40</v>
      </c>
      <c r="V232" s="3"/>
    </row>
    <row r="233" spans="1:22">
      <c r="A233" s="2">
        <v>232</v>
      </c>
      <c r="B233" s="3" t="s">
        <v>2082</v>
      </c>
      <c r="C233" s="3" t="s">
        <v>2392</v>
      </c>
      <c r="D233" s="3" t="s">
        <v>2393</v>
      </c>
      <c r="E233" s="2" t="s">
        <v>56</v>
      </c>
      <c r="F233" s="2" t="s">
        <v>26</v>
      </c>
      <c r="G233" s="3" t="s">
        <v>2394</v>
      </c>
      <c r="H233" s="2" t="s">
        <v>2395</v>
      </c>
      <c r="I233" s="3" t="s">
        <v>29</v>
      </c>
      <c r="J233" s="3" t="s">
        <v>2396</v>
      </c>
      <c r="K233" s="3" t="s">
        <v>120</v>
      </c>
      <c r="L233" s="3" t="s">
        <v>108</v>
      </c>
      <c r="M233" s="3" t="s">
        <v>2397</v>
      </c>
      <c r="N233" s="3" t="s">
        <v>2398</v>
      </c>
      <c r="O233" s="3" t="s">
        <v>2399</v>
      </c>
      <c r="P233" s="3" t="s">
        <v>2400</v>
      </c>
      <c r="Q233" s="3" t="s">
        <v>2401</v>
      </c>
      <c r="R233" s="3" t="s">
        <v>2401</v>
      </c>
      <c r="S233" s="2" t="s">
        <v>38</v>
      </c>
      <c r="T233" s="2" t="s">
        <v>39</v>
      </c>
      <c r="U233" s="2" t="s">
        <v>40</v>
      </c>
      <c r="V233" s="3"/>
    </row>
    <row r="234" spans="1:22">
      <c r="A234" s="2">
        <v>233</v>
      </c>
      <c r="B234" s="3" t="s">
        <v>2082</v>
      </c>
      <c r="C234" s="3" t="s">
        <v>2402</v>
      </c>
      <c r="D234" s="3" t="s">
        <v>2403</v>
      </c>
      <c r="E234" s="2" t="s">
        <v>206</v>
      </c>
      <c r="F234" s="2" t="s">
        <v>26</v>
      </c>
      <c r="G234" s="3" t="s">
        <v>2404</v>
      </c>
      <c r="H234" s="2" t="s">
        <v>2405</v>
      </c>
      <c r="I234" s="3" t="s">
        <v>29</v>
      </c>
      <c r="J234" s="3" t="s">
        <v>2406</v>
      </c>
      <c r="K234" s="3" t="s">
        <v>272</v>
      </c>
      <c r="L234" s="3" t="s">
        <v>167</v>
      </c>
      <c r="M234" s="3" t="s">
        <v>2407</v>
      </c>
      <c r="N234" s="3" t="s">
        <v>2408</v>
      </c>
      <c r="O234" s="3" t="s">
        <v>2409</v>
      </c>
      <c r="P234" s="3" t="s">
        <v>2410</v>
      </c>
      <c r="Q234" s="3" t="s">
        <v>2411</v>
      </c>
      <c r="R234" s="3" t="s">
        <v>2411</v>
      </c>
      <c r="S234" s="2" t="s">
        <v>38</v>
      </c>
      <c r="T234" s="2" t="s">
        <v>39</v>
      </c>
      <c r="U234" s="2" t="s">
        <v>40</v>
      </c>
      <c r="V234" s="3"/>
    </row>
    <row r="235" spans="1:22">
      <c r="A235" s="2">
        <v>234</v>
      </c>
      <c r="B235" s="3" t="s">
        <v>2082</v>
      </c>
      <c r="C235" s="3" t="s">
        <v>2412</v>
      </c>
      <c r="D235" s="3" t="s">
        <v>2413</v>
      </c>
      <c r="E235" s="2" t="s">
        <v>103</v>
      </c>
      <c r="F235" s="2" t="s">
        <v>26</v>
      </c>
      <c r="G235" s="3" t="s">
        <v>2414</v>
      </c>
      <c r="H235" s="2" t="s">
        <v>2415</v>
      </c>
      <c r="I235" s="3" t="s">
        <v>29</v>
      </c>
      <c r="J235" s="3" t="s">
        <v>2416</v>
      </c>
      <c r="K235" s="3" t="s">
        <v>120</v>
      </c>
      <c r="L235" s="3" t="s">
        <v>167</v>
      </c>
      <c r="M235" s="3" t="s">
        <v>2417</v>
      </c>
      <c r="N235" s="3" t="s">
        <v>2418</v>
      </c>
      <c r="O235" s="3" t="s">
        <v>2419</v>
      </c>
      <c r="P235" s="3" t="s">
        <v>2420</v>
      </c>
      <c r="Q235" s="3" t="s">
        <v>2421</v>
      </c>
      <c r="R235" s="3" t="s">
        <v>2421</v>
      </c>
      <c r="S235" s="2" t="s">
        <v>38</v>
      </c>
      <c r="T235" s="2" t="s">
        <v>39</v>
      </c>
      <c r="U235" s="2" t="s">
        <v>40</v>
      </c>
      <c r="V235" s="3"/>
    </row>
    <row r="236" spans="1:22">
      <c r="A236" s="2">
        <v>235</v>
      </c>
      <c r="B236" s="3" t="s">
        <v>2082</v>
      </c>
      <c r="C236" s="3" t="s">
        <v>2422</v>
      </c>
      <c r="D236" s="3" t="s">
        <v>2423</v>
      </c>
      <c r="E236" s="2" t="s">
        <v>56</v>
      </c>
      <c r="F236" s="2" t="s">
        <v>26</v>
      </c>
      <c r="G236" s="3" t="s">
        <v>2424</v>
      </c>
      <c r="H236" s="2" t="s">
        <v>2425</v>
      </c>
      <c r="I236" s="3" t="s">
        <v>29</v>
      </c>
      <c r="J236" s="3" t="s">
        <v>2426</v>
      </c>
      <c r="K236" s="3" t="s">
        <v>120</v>
      </c>
      <c r="L236" s="3" t="s">
        <v>32</v>
      </c>
      <c r="M236" s="3" t="s">
        <v>2427</v>
      </c>
      <c r="N236" s="3" t="s">
        <v>2428</v>
      </c>
      <c r="O236" s="3" t="s">
        <v>2429</v>
      </c>
      <c r="P236" s="3" t="s">
        <v>2430</v>
      </c>
      <c r="Q236" s="3" t="s">
        <v>2431</v>
      </c>
      <c r="R236" s="3" t="s">
        <v>2431</v>
      </c>
      <c r="S236" s="2" t="s">
        <v>38</v>
      </c>
      <c r="T236" s="2" t="s">
        <v>39</v>
      </c>
      <c r="U236" s="2" t="s">
        <v>40</v>
      </c>
      <c r="V236" s="3"/>
    </row>
    <row r="237" spans="1:22">
      <c r="A237" s="2">
        <v>236</v>
      </c>
      <c r="B237" s="3" t="s">
        <v>2082</v>
      </c>
      <c r="C237" s="3" t="s">
        <v>2432</v>
      </c>
      <c r="D237" s="3" t="s">
        <v>2433</v>
      </c>
      <c r="E237" s="2" t="s">
        <v>103</v>
      </c>
      <c r="F237" s="2" t="s">
        <v>26</v>
      </c>
      <c r="G237" s="3" t="s">
        <v>2434</v>
      </c>
      <c r="H237" s="2" t="s">
        <v>2435</v>
      </c>
      <c r="I237" s="3" t="s">
        <v>29</v>
      </c>
      <c r="J237" s="3" t="s">
        <v>2436</v>
      </c>
      <c r="K237" s="3" t="s">
        <v>47</v>
      </c>
      <c r="L237" s="3" t="s">
        <v>323</v>
      </c>
      <c r="M237" s="3" t="s">
        <v>2437</v>
      </c>
      <c r="N237" s="3" t="s">
        <v>2438</v>
      </c>
      <c r="O237" s="3" t="s">
        <v>2439</v>
      </c>
      <c r="P237" s="3" t="s">
        <v>2440</v>
      </c>
      <c r="Q237" s="3" t="s">
        <v>2441</v>
      </c>
      <c r="R237" s="3" t="s">
        <v>2441</v>
      </c>
      <c r="S237" s="2" t="s">
        <v>38</v>
      </c>
      <c r="T237" s="2" t="s">
        <v>39</v>
      </c>
      <c r="U237" s="2" t="s">
        <v>40</v>
      </c>
      <c r="V237" s="3"/>
    </row>
    <row r="238" spans="1:22">
      <c r="A238" s="2">
        <v>237</v>
      </c>
      <c r="B238" s="3" t="s">
        <v>2082</v>
      </c>
      <c r="C238" s="3" t="s">
        <v>2442</v>
      </c>
      <c r="D238" s="3" t="s">
        <v>2443</v>
      </c>
      <c r="E238" s="2" t="s">
        <v>415</v>
      </c>
      <c r="F238" s="2" t="s">
        <v>26</v>
      </c>
      <c r="G238" s="3" t="s">
        <v>2444</v>
      </c>
      <c r="H238" s="2" t="s">
        <v>2445</v>
      </c>
      <c r="I238" s="3" t="s">
        <v>29</v>
      </c>
      <c r="J238" s="3" t="s">
        <v>2446</v>
      </c>
      <c r="K238" s="3" t="s">
        <v>120</v>
      </c>
      <c r="L238" s="3" t="s">
        <v>73</v>
      </c>
      <c r="M238" s="3" t="s">
        <v>2447</v>
      </c>
      <c r="N238" s="3" t="s">
        <v>2448</v>
      </c>
      <c r="O238" s="3" t="s">
        <v>2449</v>
      </c>
      <c r="P238" s="3" t="s">
        <v>2450</v>
      </c>
      <c r="Q238" s="3" t="s">
        <v>2451</v>
      </c>
      <c r="R238" s="3" t="s">
        <v>2451</v>
      </c>
      <c r="S238" s="2" t="s">
        <v>38</v>
      </c>
      <c r="T238" s="2" t="s">
        <v>39</v>
      </c>
      <c r="U238" s="2" t="s">
        <v>40</v>
      </c>
      <c r="V238" s="3"/>
    </row>
    <row r="239" spans="1:22">
      <c r="A239" s="2">
        <v>238</v>
      </c>
      <c r="B239" s="3" t="s">
        <v>2082</v>
      </c>
      <c r="C239" s="3" t="s">
        <v>2452</v>
      </c>
      <c r="D239" s="3" t="s">
        <v>2453</v>
      </c>
      <c r="E239" s="2" t="s">
        <v>185</v>
      </c>
      <c r="F239" s="2" t="s">
        <v>26</v>
      </c>
      <c r="G239" s="3" t="s">
        <v>2454</v>
      </c>
      <c r="H239" s="2" t="s">
        <v>2455</v>
      </c>
      <c r="I239" s="3" t="s">
        <v>29</v>
      </c>
      <c r="J239" s="3" t="s">
        <v>2456</v>
      </c>
      <c r="K239" s="3" t="s">
        <v>261</v>
      </c>
      <c r="L239" s="3" t="s">
        <v>32</v>
      </c>
      <c r="M239" s="3" t="s">
        <v>2457</v>
      </c>
      <c r="N239" s="3" t="s">
        <v>2458</v>
      </c>
      <c r="O239" s="3" t="s">
        <v>2459</v>
      </c>
      <c r="P239" s="3" t="s">
        <v>2460</v>
      </c>
      <c r="Q239" s="3" t="s">
        <v>2461</v>
      </c>
      <c r="R239" s="3" t="s">
        <v>2461</v>
      </c>
      <c r="S239" s="2" t="s">
        <v>38</v>
      </c>
      <c r="T239" s="2" t="s">
        <v>39</v>
      </c>
      <c r="U239" s="2" t="s">
        <v>40</v>
      </c>
      <c r="V239" s="3"/>
    </row>
    <row r="240" spans="1:22">
      <c r="A240" s="2">
        <v>239</v>
      </c>
      <c r="B240" s="3" t="s">
        <v>2082</v>
      </c>
      <c r="C240" s="3" t="s">
        <v>2462</v>
      </c>
      <c r="D240" s="3" t="s">
        <v>2463</v>
      </c>
      <c r="E240" s="2" t="s">
        <v>506</v>
      </c>
      <c r="F240" s="2" t="s">
        <v>26</v>
      </c>
      <c r="G240" s="3" t="s">
        <v>2464</v>
      </c>
      <c r="H240" s="2" t="s">
        <v>2465</v>
      </c>
      <c r="I240" s="3" t="s">
        <v>29</v>
      </c>
      <c r="J240" s="3" t="s">
        <v>2466</v>
      </c>
      <c r="K240" s="3" t="s">
        <v>47</v>
      </c>
      <c r="L240" s="3" t="s">
        <v>132</v>
      </c>
      <c r="M240" s="3" t="s">
        <v>2467</v>
      </c>
      <c r="N240" s="3" t="s">
        <v>2468</v>
      </c>
      <c r="O240" s="3" t="s">
        <v>2469</v>
      </c>
      <c r="P240" s="3" t="s">
        <v>2470</v>
      </c>
      <c r="Q240" s="3" t="s">
        <v>2471</v>
      </c>
      <c r="R240" s="3" t="s">
        <v>2471</v>
      </c>
      <c r="S240" s="2" t="s">
        <v>38</v>
      </c>
      <c r="T240" s="2" t="s">
        <v>39</v>
      </c>
      <c r="U240" s="2" t="s">
        <v>40</v>
      </c>
      <c r="V240" s="3"/>
    </row>
    <row r="241" spans="1:22">
      <c r="A241" s="2">
        <v>240</v>
      </c>
      <c r="B241" s="3" t="s">
        <v>2082</v>
      </c>
      <c r="C241" s="3" t="s">
        <v>2472</v>
      </c>
      <c r="D241" s="3" t="s">
        <v>2473</v>
      </c>
      <c r="E241" s="2" t="s">
        <v>25</v>
      </c>
      <c r="F241" s="2" t="s">
        <v>26</v>
      </c>
      <c r="G241" s="3" t="s">
        <v>2474</v>
      </c>
      <c r="H241" s="2" t="s">
        <v>2475</v>
      </c>
      <c r="I241" s="3" t="s">
        <v>29</v>
      </c>
      <c r="J241" s="3" t="s">
        <v>2476</v>
      </c>
      <c r="K241" s="3" t="s">
        <v>47</v>
      </c>
      <c r="L241" s="3" t="s">
        <v>132</v>
      </c>
      <c r="M241" s="3" t="s">
        <v>2477</v>
      </c>
      <c r="N241" s="3" t="s">
        <v>2478</v>
      </c>
      <c r="O241" s="3" t="s">
        <v>2479</v>
      </c>
      <c r="P241" s="3" t="s">
        <v>2480</v>
      </c>
      <c r="Q241" s="3" t="s">
        <v>2481</v>
      </c>
      <c r="R241" s="3" t="s">
        <v>2481</v>
      </c>
      <c r="S241" s="2" t="s">
        <v>38</v>
      </c>
      <c r="T241" s="2" t="s">
        <v>39</v>
      </c>
      <c r="U241" s="2" t="s">
        <v>40</v>
      </c>
      <c r="V241" s="3"/>
    </row>
    <row r="242" spans="1:22">
      <c r="A242" s="2">
        <v>241</v>
      </c>
      <c r="B242" s="3" t="s">
        <v>2082</v>
      </c>
      <c r="C242" s="3" t="s">
        <v>2482</v>
      </c>
      <c r="D242" s="3" t="s">
        <v>2483</v>
      </c>
      <c r="E242" s="2" t="s">
        <v>257</v>
      </c>
      <c r="F242" s="2" t="s">
        <v>26</v>
      </c>
      <c r="G242" s="3" t="s">
        <v>2484</v>
      </c>
      <c r="H242" s="2" t="s">
        <v>2485</v>
      </c>
      <c r="I242" s="3" t="s">
        <v>29</v>
      </c>
      <c r="J242" s="3" t="s">
        <v>2486</v>
      </c>
      <c r="K242" s="3" t="s">
        <v>272</v>
      </c>
      <c r="L242" s="3" t="s">
        <v>323</v>
      </c>
      <c r="M242" s="3" t="s">
        <v>2487</v>
      </c>
      <c r="N242" s="3" t="s">
        <v>2488</v>
      </c>
      <c r="O242" s="3" t="s">
        <v>2489</v>
      </c>
      <c r="P242" s="3" t="s">
        <v>2490</v>
      </c>
      <c r="Q242" s="3" t="s">
        <v>2491</v>
      </c>
      <c r="R242" s="3" t="s">
        <v>2491</v>
      </c>
      <c r="S242" s="2" t="s">
        <v>38</v>
      </c>
      <c r="T242" s="2" t="s">
        <v>39</v>
      </c>
      <c r="U242" s="2" t="s">
        <v>40</v>
      </c>
      <c r="V242" s="3"/>
    </row>
    <row r="243" spans="1:22">
      <c r="A243" s="2">
        <v>242</v>
      </c>
      <c r="B243" s="3" t="s">
        <v>2082</v>
      </c>
      <c r="C243" s="3" t="s">
        <v>2492</v>
      </c>
      <c r="D243" s="3" t="s">
        <v>2493</v>
      </c>
      <c r="E243" s="2" t="s">
        <v>206</v>
      </c>
      <c r="F243" s="2" t="s">
        <v>26</v>
      </c>
      <c r="G243" s="3" t="s">
        <v>2494</v>
      </c>
      <c r="H243" s="2" t="s">
        <v>2495</v>
      </c>
      <c r="I243" s="3" t="s">
        <v>29</v>
      </c>
      <c r="J243" s="3" t="s">
        <v>2496</v>
      </c>
      <c r="K243" s="3" t="s">
        <v>47</v>
      </c>
      <c r="L243" s="3" t="s">
        <v>603</v>
      </c>
      <c r="M243" s="3" t="s">
        <v>2497</v>
      </c>
      <c r="N243" s="3" t="s">
        <v>2498</v>
      </c>
      <c r="O243" s="3" t="s">
        <v>2499</v>
      </c>
      <c r="P243" s="3" t="s">
        <v>2500</v>
      </c>
      <c r="Q243" s="3" t="s">
        <v>2501</v>
      </c>
      <c r="R243" s="3" t="s">
        <v>2501</v>
      </c>
      <c r="S243" s="2" t="s">
        <v>38</v>
      </c>
      <c r="T243" s="2" t="s">
        <v>39</v>
      </c>
      <c r="U243" s="2" t="s">
        <v>40</v>
      </c>
      <c r="V243" s="3"/>
    </row>
    <row r="244" spans="1:22">
      <c r="A244" s="2">
        <v>243</v>
      </c>
      <c r="B244" s="3" t="s">
        <v>2082</v>
      </c>
      <c r="C244" s="3" t="s">
        <v>2502</v>
      </c>
      <c r="D244" s="3" t="s">
        <v>2503</v>
      </c>
      <c r="E244" s="2" t="s">
        <v>206</v>
      </c>
      <c r="F244" s="2" t="s">
        <v>26</v>
      </c>
      <c r="G244" s="3" t="s">
        <v>2504</v>
      </c>
      <c r="H244" s="2" t="s">
        <v>2505</v>
      </c>
      <c r="I244" s="3" t="s">
        <v>29</v>
      </c>
      <c r="J244" s="3" t="s">
        <v>2506</v>
      </c>
      <c r="K244" s="3" t="s">
        <v>47</v>
      </c>
      <c r="L244" s="3" t="s">
        <v>448</v>
      </c>
      <c r="M244" s="3" t="s">
        <v>2507</v>
      </c>
      <c r="N244" s="3" t="s">
        <v>2508</v>
      </c>
      <c r="O244" s="3" t="s">
        <v>2509</v>
      </c>
      <c r="P244" s="3" t="s">
        <v>2510</v>
      </c>
      <c r="Q244" s="3" t="s">
        <v>2511</v>
      </c>
      <c r="R244" s="3" t="s">
        <v>2511</v>
      </c>
      <c r="S244" s="2" t="s">
        <v>38</v>
      </c>
      <c r="T244" s="2" t="s">
        <v>39</v>
      </c>
      <c r="U244" s="2" t="s">
        <v>40</v>
      </c>
      <c r="V244" s="3"/>
    </row>
    <row r="245" spans="1:22">
      <c r="A245" s="2">
        <v>244</v>
      </c>
      <c r="B245" s="3" t="s">
        <v>2082</v>
      </c>
      <c r="C245" s="3" t="s">
        <v>2512</v>
      </c>
      <c r="D245" s="3" t="s">
        <v>2513</v>
      </c>
      <c r="E245" s="2" t="s">
        <v>257</v>
      </c>
      <c r="F245" s="2" t="s">
        <v>26</v>
      </c>
      <c r="G245" s="3" t="s">
        <v>2514</v>
      </c>
      <c r="H245" s="2" t="s">
        <v>2515</v>
      </c>
      <c r="I245" s="3" t="s">
        <v>29</v>
      </c>
      <c r="J245" s="3" t="s">
        <v>2516</v>
      </c>
      <c r="K245" s="3" t="s">
        <v>47</v>
      </c>
      <c r="L245" s="3" t="s">
        <v>132</v>
      </c>
      <c r="M245" s="3" t="s">
        <v>2517</v>
      </c>
      <c r="N245" s="3" t="s">
        <v>2518</v>
      </c>
      <c r="O245" s="3" t="s">
        <v>2519</v>
      </c>
      <c r="P245" s="3" t="s">
        <v>2520</v>
      </c>
      <c r="Q245" s="3" t="s">
        <v>2521</v>
      </c>
      <c r="R245" s="3" t="s">
        <v>2521</v>
      </c>
      <c r="S245" s="2" t="s">
        <v>38</v>
      </c>
      <c r="T245" s="2" t="s">
        <v>39</v>
      </c>
      <c r="U245" s="2" t="s">
        <v>40</v>
      </c>
      <c r="V245" s="3"/>
    </row>
    <row r="246" spans="1:22">
      <c r="A246" s="2">
        <v>245</v>
      </c>
      <c r="B246" s="3" t="s">
        <v>2082</v>
      </c>
      <c r="C246" s="3" t="s">
        <v>2522</v>
      </c>
      <c r="D246" s="3" t="s">
        <v>2523</v>
      </c>
      <c r="E246" s="2" t="s">
        <v>621</v>
      </c>
      <c r="F246" s="2" t="s">
        <v>43</v>
      </c>
      <c r="G246" s="3" t="s">
        <v>2524</v>
      </c>
      <c r="H246" s="2" t="s">
        <v>2525</v>
      </c>
      <c r="I246" s="3" t="s">
        <v>29</v>
      </c>
      <c r="J246" s="3" t="s">
        <v>2526</v>
      </c>
      <c r="K246" s="3" t="s">
        <v>261</v>
      </c>
      <c r="L246" s="3" t="s">
        <v>145</v>
      </c>
      <c r="M246" s="3" t="s">
        <v>2527</v>
      </c>
      <c r="N246" s="3" t="s">
        <v>2528</v>
      </c>
      <c r="O246" s="3" t="s">
        <v>2529</v>
      </c>
      <c r="P246" s="3" t="s">
        <v>2530</v>
      </c>
      <c r="Q246" s="3" t="s">
        <v>2531</v>
      </c>
      <c r="R246" s="3" t="s">
        <v>2531</v>
      </c>
      <c r="S246" s="2" t="s">
        <v>38</v>
      </c>
      <c r="T246" s="2" t="s">
        <v>39</v>
      </c>
      <c r="U246" s="2" t="s">
        <v>40</v>
      </c>
      <c r="V246" s="3"/>
    </row>
    <row r="247" spans="1:22">
      <c r="A247" s="2">
        <v>246</v>
      </c>
      <c r="B247" s="3" t="s">
        <v>2082</v>
      </c>
      <c r="C247" s="3" t="s">
        <v>2532</v>
      </c>
      <c r="D247" s="3" t="s">
        <v>2533</v>
      </c>
      <c r="E247" s="2" t="s">
        <v>140</v>
      </c>
      <c r="F247" s="2" t="s">
        <v>26</v>
      </c>
      <c r="G247" s="3" t="s">
        <v>2534</v>
      </c>
      <c r="H247" s="2" t="s">
        <v>2535</v>
      </c>
      <c r="I247" s="3" t="s">
        <v>29</v>
      </c>
      <c r="J247" s="3" t="s">
        <v>2536</v>
      </c>
      <c r="K247" s="3" t="s">
        <v>272</v>
      </c>
      <c r="L247" s="3" t="s">
        <v>167</v>
      </c>
      <c r="M247" s="3" t="s">
        <v>2537</v>
      </c>
      <c r="N247" s="3" t="s">
        <v>2538</v>
      </c>
      <c r="O247" s="3" t="s">
        <v>2539</v>
      </c>
      <c r="P247" s="3" t="s">
        <v>2540</v>
      </c>
      <c r="Q247" s="3" t="s">
        <v>2541</v>
      </c>
      <c r="R247" s="3" t="s">
        <v>2541</v>
      </c>
      <c r="S247" s="2" t="s">
        <v>38</v>
      </c>
      <c r="T247" s="2" t="s">
        <v>39</v>
      </c>
      <c r="U247" s="2" t="s">
        <v>40</v>
      </c>
      <c r="V247" s="3"/>
    </row>
    <row r="248" spans="1:22">
      <c r="A248" s="2">
        <v>247</v>
      </c>
      <c r="B248" s="3" t="s">
        <v>2082</v>
      </c>
      <c r="C248" s="3" t="s">
        <v>2542</v>
      </c>
      <c r="D248" s="3" t="s">
        <v>2543</v>
      </c>
      <c r="E248" s="2" t="s">
        <v>56</v>
      </c>
      <c r="F248" s="2" t="s">
        <v>26</v>
      </c>
      <c r="G248" s="3" t="s">
        <v>2544</v>
      </c>
      <c r="H248" s="2" t="s">
        <v>2545</v>
      </c>
      <c r="I248" s="3" t="s">
        <v>29</v>
      </c>
      <c r="J248" s="3" t="s">
        <v>2546</v>
      </c>
      <c r="K248" s="3" t="s">
        <v>107</v>
      </c>
      <c r="L248" s="3" t="s">
        <v>132</v>
      </c>
      <c r="M248" s="3" t="s">
        <v>2547</v>
      </c>
      <c r="N248" s="3" t="s">
        <v>2548</v>
      </c>
      <c r="O248" s="3" t="s">
        <v>2549</v>
      </c>
      <c r="P248" s="3" t="s">
        <v>2550</v>
      </c>
      <c r="Q248" s="3" t="s">
        <v>2551</v>
      </c>
      <c r="R248" s="3" t="s">
        <v>2551</v>
      </c>
      <c r="S248" s="2" t="s">
        <v>38</v>
      </c>
      <c r="T248" s="2" t="s">
        <v>39</v>
      </c>
      <c r="U248" s="2" t="s">
        <v>40</v>
      </c>
      <c r="V248" s="3"/>
    </row>
    <row r="249" spans="1:22">
      <c r="A249" s="2">
        <v>248</v>
      </c>
      <c r="B249" s="3" t="s">
        <v>2082</v>
      </c>
      <c r="C249" s="3" t="s">
        <v>2552</v>
      </c>
      <c r="D249" s="3" t="s">
        <v>2553</v>
      </c>
      <c r="E249" s="2" t="s">
        <v>257</v>
      </c>
      <c r="F249" s="2" t="s">
        <v>43</v>
      </c>
      <c r="G249" s="3" t="s">
        <v>2554</v>
      </c>
      <c r="H249" s="2" t="s">
        <v>2555</v>
      </c>
      <c r="I249" s="3" t="s">
        <v>29</v>
      </c>
      <c r="J249" s="3" t="s">
        <v>2556</v>
      </c>
      <c r="K249" s="3" t="s">
        <v>120</v>
      </c>
      <c r="L249" s="3" t="s">
        <v>156</v>
      </c>
      <c r="M249" s="3" t="s">
        <v>2557</v>
      </c>
      <c r="N249" s="3" t="s">
        <v>2558</v>
      </c>
      <c r="O249" s="3" t="s">
        <v>2559</v>
      </c>
      <c r="P249" s="3" t="s">
        <v>2560</v>
      </c>
      <c r="Q249" s="3" t="s">
        <v>2561</v>
      </c>
      <c r="R249" s="3" t="s">
        <v>2561</v>
      </c>
      <c r="S249" s="2" t="s">
        <v>38</v>
      </c>
      <c r="T249" s="2" t="s">
        <v>39</v>
      </c>
      <c r="U249" s="2" t="s">
        <v>40</v>
      </c>
      <c r="V249" s="3"/>
    </row>
    <row r="250" spans="1:22">
      <c r="A250" s="2">
        <v>249</v>
      </c>
      <c r="B250" s="3" t="s">
        <v>2082</v>
      </c>
      <c r="C250" s="3" t="s">
        <v>2562</v>
      </c>
      <c r="D250" s="3" t="s">
        <v>2563</v>
      </c>
      <c r="E250" s="2" t="s">
        <v>56</v>
      </c>
      <c r="F250" s="2" t="s">
        <v>26</v>
      </c>
      <c r="G250" s="3" t="s">
        <v>2564</v>
      </c>
      <c r="H250" s="2" t="s">
        <v>2565</v>
      </c>
      <c r="I250" s="3" t="s">
        <v>29</v>
      </c>
      <c r="J250" s="3" t="s">
        <v>2566</v>
      </c>
      <c r="K250" s="3" t="s">
        <v>47</v>
      </c>
      <c r="L250" s="3" t="s">
        <v>167</v>
      </c>
      <c r="M250" s="3" t="s">
        <v>2567</v>
      </c>
      <c r="N250" s="3" t="s">
        <v>2568</v>
      </c>
      <c r="O250" s="3" t="s">
        <v>2569</v>
      </c>
      <c r="P250" s="3" t="s">
        <v>2570</v>
      </c>
      <c r="Q250" s="3" t="s">
        <v>2571</v>
      </c>
      <c r="R250" s="3" t="s">
        <v>2571</v>
      </c>
      <c r="S250" s="2" t="s">
        <v>38</v>
      </c>
      <c r="T250" s="2" t="s">
        <v>39</v>
      </c>
      <c r="U250" s="2" t="s">
        <v>40</v>
      </c>
      <c r="V250" s="3"/>
    </row>
    <row r="251" spans="1:22">
      <c r="A251" s="2">
        <v>250</v>
      </c>
      <c r="B251" s="3" t="s">
        <v>2082</v>
      </c>
      <c r="C251" s="3" t="s">
        <v>2572</v>
      </c>
      <c r="D251" s="3" t="s">
        <v>2573</v>
      </c>
      <c r="E251" s="2" t="s">
        <v>25</v>
      </c>
      <c r="F251" s="2" t="s">
        <v>43</v>
      </c>
      <c r="G251" s="3" t="s">
        <v>2574</v>
      </c>
      <c r="H251" s="2" t="s">
        <v>2575</v>
      </c>
      <c r="I251" s="3" t="s">
        <v>29</v>
      </c>
      <c r="J251" s="3" t="s">
        <v>2576</v>
      </c>
      <c r="K251" s="3" t="s">
        <v>47</v>
      </c>
      <c r="L251" s="3" t="s">
        <v>167</v>
      </c>
      <c r="M251" s="3" t="s">
        <v>2577</v>
      </c>
      <c r="N251" s="3" t="s">
        <v>2578</v>
      </c>
      <c r="O251" s="3" t="s">
        <v>2579</v>
      </c>
      <c r="P251" s="3" t="s">
        <v>2580</v>
      </c>
      <c r="Q251" s="3" t="s">
        <v>2581</v>
      </c>
      <c r="R251" s="3" t="s">
        <v>2581</v>
      </c>
      <c r="S251" s="2" t="s">
        <v>38</v>
      </c>
      <c r="T251" s="2" t="s">
        <v>39</v>
      </c>
      <c r="U251" s="2" t="s">
        <v>40</v>
      </c>
      <c r="V251" s="3"/>
    </row>
    <row r="252" spans="1:22">
      <c r="A252" s="2">
        <v>251</v>
      </c>
      <c r="B252" s="3" t="s">
        <v>2582</v>
      </c>
      <c r="C252" s="3" t="s">
        <v>2583</v>
      </c>
      <c r="D252" s="3" t="s">
        <v>2584</v>
      </c>
      <c r="E252" s="2" t="s">
        <v>116</v>
      </c>
      <c r="F252" s="2" t="s">
        <v>26</v>
      </c>
      <c r="G252" s="3" t="s">
        <v>2585</v>
      </c>
      <c r="H252" s="2" t="s">
        <v>2586</v>
      </c>
      <c r="I252" s="3" t="s">
        <v>29</v>
      </c>
      <c r="J252" s="3" t="s">
        <v>2587</v>
      </c>
      <c r="K252" s="3" t="s">
        <v>365</v>
      </c>
      <c r="L252" s="3" t="s">
        <v>293</v>
      </c>
      <c r="M252" s="3" t="s">
        <v>2588</v>
      </c>
      <c r="N252" s="3" t="s">
        <v>2589</v>
      </c>
      <c r="O252" s="3" t="s">
        <v>2590</v>
      </c>
      <c r="P252" s="3" t="s">
        <v>2591</v>
      </c>
      <c r="Q252" s="3" t="s">
        <v>2592</v>
      </c>
      <c r="R252" s="3" t="s">
        <v>2592</v>
      </c>
      <c r="S252" s="2" t="s">
        <v>38</v>
      </c>
      <c r="T252" s="2" t="s">
        <v>39</v>
      </c>
      <c r="U252" s="2" t="s">
        <v>40</v>
      </c>
      <c r="V252" s="3"/>
    </row>
    <row r="253" spans="1:22">
      <c r="A253" s="2">
        <v>252</v>
      </c>
      <c r="B253" s="3" t="s">
        <v>2582</v>
      </c>
      <c r="C253" s="3" t="s">
        <v>2593</v>
      </c>
      <c r="D253" s="3" t="s">
        <v>2594</v>
      </c>
      <c r="E253" s="2" t="s">
        <v>185</v>
      </c>
      <c r="F253" s="2" t="s">
        <v>26</v>
      </c>
      <c r="G253" s="3" t="s">
        <v>2595</v>
      </c>
      <c r="H253" s="2" t="s">
        <v>2596</v>
      </c>
      <c r="I253" s="3" t="s">
        <v>29</v>
      </c>
      <c r="J253" s="3" t="s">
        <v>2597</v>
      </c>
      <c r="K253" s="3" t="s">
        <v>107</v>
      </c>
      <c r="L253" s="3" t="s">
        <v>32</v>
      </c>
      <c r="M253" s="3" t="s">
        <v>2598</v>
      </c>
      <c r="N253" s="3" t="s">
        <v>2599</v>
      </c>
      <c r="O253" s="3" t="s">
        <v>2600</v>
      </c>
      <c r="P253" s="3" t="s">
        <v>2601</v>
      </c>
      <c r="Q253" s="3" t="s">
        <v>2602</v>
      </c>
      <c r="R253" s="3" t="s">
        <v>2602</v>
      </c>
      <c r="S253" s="2" t="s">
        <v>38</v>
      </c>
      <c r="T253" s="2" t="s">
        <v>39</v>
      </c>
      <c r="U253" s="2" t="s">
        <v>40</v>
      </c>
      <c r="V253" s="3"/>
    </row>
    <row r="254" spans="1:22">
      <c r="A254" s="2">
        <v>253</v>
      </c>
      <c r="B254" s="3" t="s">
        <v>2582</v>
      </c>
      <c r="C254" s="3" t="s">
        <v>2603</v>
      </c>
      <c r="D254" s="3" t="s">
        <v>2604</v>
      </c>
      <c r="E254" s="2" t="s">
        <v>185</v>
      </c>
      <c r="F254" s="2" t="s">
        <v>26</v>
      </c>
      <c r="G254" s="3" t="s">
        <v>2605</v>
      </c>
      <c r="H254" s="2" t="s">
        <v>2606</v>
      </c>
      <c r="I254" s="3" t="s">
        <v>29</v>
      </c>
      <c r="J254" s="3" t="s">
        <v>2607</v>
      </c>
      <c r="K254" s="3" t="s">
        <v>47</v>
      </c>
      <c r="L254" s="3" t="s">
        <v>73</v>
      </c>
      <c r="M254" s="3" t="s">
        <v>2608</v>
      </c>
      <c r="N254" s="3" t="s">
        <v>2609</v>
      </c>
      <c r="O254" s="3" t="s">
        <v>2610</v>
      </c>
      <c r="P254" s="3" t="s">
        <v>2611</v>
      </c>
      <c r="Q254" s="3" t="s">
        <v>2612</v>
      </c>
      <c r="R254" s="3" t="s">
        <v>2612</v>
      </c>
      <c r="S254" s="2" t="s">
        <v>38</v>
      </c>
      <c r="T254" s="2" t="s">
        <v>39</v>
      </c>
      <c r="U254" s="2" t="s">
        <v>40</v>
      </c>
      <c r="V254" s="3"/>
    </row>
    <row r="255" spans="1:22">
      <c r="A255" s="2">
        <v>254</v>
      </c>
      <c r="B255" s="3" t="s">
        <v>2582</v>
      </c>
      <c r="C255" s="3" t="s">
        <v>2613</v>
      </c>
      <c r="D255" s="3" t="s">
        <v>2614</v>
      </c>
      <c r="E255" s="2" t="s">
        <v>56</v>
      </c>
      <c r="F255" s="2" t="s">
        <v>26</v>
      </c>
      <c r="G255" s="3" t="s">
        <v>2615</v>
      </c>
      <c r="H255" s="2" t="s">
        <v>2616</v>
      </c>
      <c r="I255" s="3" t="s">
        <v>29</v>
      </c>
      <c r="J255" s="3" t="s">
        <v>2617</v>
      </c>
      <c r="K255" s="3" t="s">
        <v>47</v>
      </c>
      <c r="L255" s="3" t="s">
        <v>323</v>
      </c>
      <c r="M255" s="3" t="s">
        <v>2618</v>
      </c>
      <c r="N255" s="3" t="s">
        <v>2619</v>
      </c>
      <c r="O255" s="3" t="s">
        <v>2620</v>
      </c>
      <c r="P255" s="3" t="s">
        <v>2621</v>
      </c>
      <c r="Q255" s="3" t="s">
        <v>2622</v>
      </c>
      <c r="R255" s="3" t="s">
        <v>2622</v>
      </c>
      <c r="S255" s="2" t="s">
        <v>38</v>
      </c>
      <c r="T255" s="2" t="s">
        <v>39</v>
      </c>
      <c r="U255" s="2" t="s">
        <v>40</v>
      </c>
      <c r="V255" s="3"/>
    </row>
    <row r="256" spans="1:22">
      <c r="A256" s="2">
        <v>255</v>
      </c>
      <c r="B256" s="3" t="s">
        <v>2582</v>
      </c>
      <c r="C256" s="3" t="s">
        <v>2623</v>
      </c>
      <c r="D256" s="3" t="s">
        <v>2624</v>
      </c>
      <c r="E256" s="2" t="s">
        <v>351</v>
      </c>
      <c r="F256" s="2" t="s">
        <v>43</v>
      </c>
      <c r="G256" s="3" t="s">
        <v>2625</v>
      </c>
      <c r="H256" s="2" t="s">
        <v>2626</v>
      </c>
      <c r="I256" s="3" t="s">
        <v>29</v>
      </c>
      <c r="J256" s="3" t="s">
        <v>2627</v>
      </c>
      <c r="K256" s="3" t="s">
        <v>47</v>
      </c>
      <c r="L256" s="3" t="s">
        <v>167</v>
      </c>
      <c r="M256" s="3" t="s">
        <v>2628</v>
      </c>
      <c r="N256" s="3" t="s">
        <v>2629</v>
      </c>
      <c r="O256" s="3" t="s">
        <v>2630</v>
      </c>
      <c r="P256" s="3" t="s">
        <v>2631</v>
      </c>
      <c r="Q256" s="3" t="s">
        <v>2632</v>
      </c>
      <c r="R256" s="3" t="s">
        <v>2632</v>
      </c>
      <c r="S256" s="2" t="s">
        <v>38</v>
      </c>
      <c r="T256" s="2" t="s">
        <v>39</v>
      </c>
      <c r="U256" s="2" t="s">
        <v>40</v>
      </c>
      <c r="V256" s="3"/>
    </row>
    <row r="257" spans="1:22">
      <c r="A257" s="2">
        <v>256</v>
      </c>
      <c r="B257" s="3" t="s">
        <v>2582</v>
      </c>
      <c r="C257" s="3" t="s">
        <v>2633</v>
      </c>
      <c r="D257" s="3" t="s">
        <v>2634</v>
      </c>
      <c r="E257" s="2" t="s">
        <v>81</v>
      </c>
      <c r="F257" s="2" t="s">
        <v>43</v>
      </c>
      <c r="G257" s="3" t="s">
        <v>2635</v>
      </c>
      <c r="H257" s="2" t="s">
        <v>2636</v>
      </c>
      <c r="I257" s="3" t="s">
        <v>29</v>
      </c>
      <c r="J257" s="3" t="s">
        <v>2637</v>
      </c>
      <c r="K257" s="3" t="s">
        <v>47</v>
      </c>
      <c r="L257" s="3" t="s">
        <v>167</v>
      </c>
      <c r="M257" s="3" t="s">
        <v>2638</v>
      </c>
      <c r="N257" s="3" t="s">
        <v>2639</v>
      </c>
      <c r="O257" s="3" t="s">
        <v>2640</v>
      </c>
      <c r="P257" s="3" t="s">
        <v>2641</v>
      </c>
      <c r="Q257" s="3" t="s">
        <v>2642</v>
      </c>
      <c r="R257" s="3" t="s">
        <v>2642</v>
      </c>
      <c r="S257" s="2" t="s">
        <v>38</v>
      </c>
      <c r="T257" s="2" t="s">
        <v>39</v>
      </c>
      <c r="U257" s="2" t="s">
        <v>40</v>
      </c>
      <c r="V257" s="3"/>
    </row>
    <row r="258" spans="1:22">
      <c r="A258" s="2">
        <v>257</v>
      </c>
      <c r="B258" s="3" t="s">
        <v>2582</v>
      </c>
      <c r="C258" s="3" t="s">
        <v>2643</v>
      </c>
      <c r="D258" s="3" t="s">
        <v>2644</v>
      </c>
      <c r="E258" s="2" t="s">
        <v>103</v>
      </c>
      <c r="F258" s="2" t="s">
        <v>43</v>
      </c>
      <c r="G258" s="3" t="s">
        <v>2645</v>
      </c>
      <c r="H258" s="2" t="s">
        <v>2646</v>
      </c>
      <c r="I258" s="3" t="s">
        <v>29</v>
      </c>
      <c r="J258" s="3" t="s">
        <v>2647</v>
      </c>
      <c r="K258" s="3" t="s">
        <v>272</v>
      </c>
      <c r="L258" s="3" t="s">
        <v>989</v>
      </c>
      <c r="M258" s="3" t="s">
        <v>2648</v>
      </c>
      <c r="N258" s="3" t="s">
        <v>2649</v>
      </c>
      <c r="O258" s="3" t="s">
        <v>2650</v>
      </c>
      <c r="P258" s="3" t="s">
        <v>2651</v>
      </c>
      <c r="Q258" s="3" t="s">
        <v>2652</v>
      </c>
      <c r="R258" s="3" t="s">
        <v>2652</v>
      </c>
      <c r="S258" s="2" t="s">
        <v>38</v>
      </c>
      <c r="T258" s="2" t="s">
        <v>39</v>
      </c>
      <c r="U258" s="2" t="s">
        <v>40</v>
      </c>
      <c r="V258" s="3"/>
    </row>
    <row r="259" spans="1:22">
      <c r="A259" s="2">
        <v>258</v>
      </c>
      <c r="B259" s="3" t="s">
        <v>2582</v>
      </c>
      <c r="C259" s="3" t="s">
        <v>2653</v>
      </c>
      <c r="D259" s="3" t="s">
        <v>2654</v>
      </c>
      <c r="E259" s="2" t="s">
        <v>621</v>
      </c>
      <c r="F259" s="2" t="s">
        <v>26</v>
      </c>
      <c r="G259" s="3" t="s">
        <v>2655</v>
      </c>
      <c r="H259" s="2" t="s">
        <v>2656</v>
      </c>
      <c r="I259" s="3" t="s">
        <v>29</v>
      </c>
      <c r="J259" s="3" t="s">
        <v>2657</v>
      </c>
      <c r="K259" s="3" t="s">
        <v>47</v>
      </c>
      <c r="L259" s="3" t="s">
        <v>145</v>
      </c>
      <c r="M259" s="3" t="s">
        <v>2658</v>
      </c>
      <c r="N259" s="3" t="s">
        <v>1144</v>
      </c>
      <c r="O259" s="3" t="s">
        <v>2659</v>
      </c>
      <c r="P259" s="3" t="s">
        <v>2660</v>
      </c>
      <c r="Q259" s="3" t="s">
        <v>2661</v>
      </c>
      <c r="R259" s="3" t="s">
        <v>2661</v>
      </c>
      <c r="S259" s="2" t="s">
        <v>38</v>
      </c>
      <c r="T259" s="2" t="s">
        <v>39</v>
      </c>
      <c r="U259" s="2" t="s">
        <v>40</v>
      </c>
      <c r="V259" s="3"/>
    </row>
    <row r="260" spans="1:22">
      <c r="A260" s="2">
        <v>259</v>
      </c>
      <c r="B260" s="3" t="s">
        <v>2582</v>
      </c>
      <c r="C260" s="3" t="s">
        <v>2662</v>
      </c>
      <c r="D260" s="3" t="s">
        <v>2663</v>
      </c>
      <c r="E260" s="2" t="s">
        <v>621</v>
      </c>
      <c r="F260" s="2" t="s">
        <v>26</v>
      </c>
      <c r="G260" s="3" t="s">
        <v>2664</v>
      </c>
      <c r="H260" s="2" t="s">
        <v>2665</v>
      </c>
      <c r="I260" s="3" t="s">
        <v>29</v>
      </c>
      <c r="J260" s="3" t="s">
        <v>2666</v>
      </c>
      <c r="K260" s="3" t="s">
        <v>47</v>
      </c>
      <c r="L260" s="3" t="s">
        <v>323</v>
      </c>
      <c r="M260" s="3" t="s">
        <v>2667</v>
      </c>
      <c r="N260" s="3" t="s">
        <v>2668</v>
      </c>
      <c r="O260" s="3" t="s">
        <v>2669</v>
      </c>
      <c r="P260" s="3" t="s">
        <v>2670</v>
      </c>
      <c r="Q260" s="3" t="s">
        <v>2671</v>
      </c>
      <c r="R260" s="3" t="s">
        <v>2671</v>
      </c>
      <c r="S260" s="2" t="s">
        <v>38</v>
      </c>
      <c r="T260" s="2" t="s">
        <v>39</v>
      </c>
      <c r="U260" s="2" t="s">
        <v>40</v>
      </c>
      <c r="V260" s="3"/>
    </row>
    <row r="261" spans="1:22">
      <c r="A261" s="2">
        <v>260</v>
      </c>
      <c r="B261" s="3" t="s">
        <v>2582</v>
      </c>
      <c r="C261" s="3" t="s">
        <v>2672</v>
      </c>
      <c r="D261" s="3" t="s">
        <v>2673</v>
      </c>
      <c r="E261" s="2" t="s">
        <v>116</v>
      </c>
      <c r="F261" s="2" t="s">
        <v>26</v>
      </c>
      <c r="G261" s="3" t="s">
        <v>2674</v>
      </c>
      <c r="H261" s="2" t="s">
        <v>2675</v>
      </c>
      <c r="I261" s="3" t="s">
        <v>29</v>
      </c>
      <c r="J261" s="3" t="s">
        <v>2676</v>
      </c>
      <c r="K261" s="3" t="s">
        <v>541</v>
      </c>
      <c r="L261" s="3" t="s">
        <v>48</v>
      </c>
      <c r="M261" s="3" t="s">
        <v>2677</v>
      </c>
      <c r="N261" s="3" t="s">
        <v>2678</v>
      </c>
      <c r="O261" s="3" t="s">
        <v>2679</v>
      </c>
      <c r="P261" s="3" t="s">
        <v>2680</v>
      </c>
      <c r="Q261" s="3" t="s">
        <v>2681</v>
      </c>
      <c r="R261" s="3" t="s">
        <v>2681</v>
      </c>
      <c r="S261" s="2" t="s">
        <v>38</v>
      </c>
      <c r="T261" s="2" t="s">
        <v>39</v>
      </c>
      <c r="U261" s="2" t="s">
        <v>40</v>
      </c>
      <c r="V261" s="3"/>
    </row>
    <row r="262" spans="1:22">
      <c r="A262" s="2">
        <v>261</v>
      </c>
      <c r="B262" s="3" t="s">
        <v>2582</v>
      </c>
      <c r="C262" s="3" t="s">
        <v>2682</v>
      </c>
      <c r="D262" s="3" t="s">
        <v>2683</v>
      </c>
      <c r="E262" s="2" t="s">
        <v>185</v>
      </c>
      <c r="F262" s="2" t="s">
        <v>26</v>
      </c>
      <c r="G262" s="3" t="s">
        <v>2684</v>
      </c>
      <c r="H262" s="2" t="s">
        <v>2685</v>
      </c>
      <c r="I262" s="3" t="s">
        <v>29</v>
      </c>
      <c r="J262" s="3" t="s">
        <v>2686</v>
      </c>
      <c r="K262" s="3" t="s">
        <v>47</v>
      </c>
      <c r="L262" s="3" t="s">
        <v>323</v>
      </c>
      <c r="M262" s="3" t="s">
        <v>2687</v>
      </c>
      <c r="N262" s="3" t="s">
        <v>2688</v>
      </c>
      <c r="O262" s="3" t="s">
        <v>2689</v>
      </c>
      <c r="P262" s="3" t="s">
        <v>2690</v>
      </c>
      <c r="Q262" s="3" t="s">
        <v>2691</v>
      </c>
      <c r="R262" s="3" t="s">
        <v>2691</v>
      </c>
      <c r="S262" s="2" t="s">
        <v>38</v>
      </c>
      <c r="T262" s="2" t="s">
        <v>39</v>
      </c>
      <c r="U262" s="2" t="s">
        <v>40</v>
      </c>
      <c r="V262" s="3"/>
    </row>
    <row r="263" spans="1:22">
      <c r="A263" s="2">
        <v>262</v>
      </c>
      <c r="B263" s="3" t="s">
        <v>2582</v>
      </c>
      <c r="C263" s="3" t="s">
        <v>2692</v>
      </c>
      <c r="D263" s="3" t="s">
        <v>2693</v>
      </c>
      <c r="E263" s="2" t="s">
        <v>56</v>
      </c>
      <c r="F263" s="2" t="s">
        <v>26</v>
      </c>
      <c r="G263" s="3" t="s">
        <v>2694</v>
      </c>
      <c r="H263" s="2" t="s">
        <v>2695</v>
      </c>
      <c r="I263" s="3" t="s">
        <v>29</v>
      </c>
      <c r="J263" s="3" t="s">
        <v>2696</v>
      </c>
      <c r="K263" s="3" t="s">
        <v>47</v>
      </c>
      <c r="L263" s="3" t="s">
        <v>323</v>
      </c>
      <c r="M263" s="3" t="s">
        <v>2697</v>
      </c>
      <c r="N263" s="3" t="s">
        <v>2698</v>
      </c>
      <c r="O263" s="3" t="s">
        <v>2699</v>
      </c>
      <c r="P263" s="3" t="s">
        <v>2700</v>
      </c>
      <c r="Q263" s="3" t="s">
        <v>2701</v>
      </c>
      <c r="R263" s="3" t="s">
        <v>2701</v>
      </c>
      <c r="S263" s="2" t="s">
        <v>38</v>
      </c>
      <c r="T263" s="2" t="s">
        <v>39</v>
      </c>
      <c r="U263" s="2" t="s">
        <v>40</v>
      </c>
      <c r="V263" s="3"/>
    </row>
    <row r="264" spans="1:22">
      <c r="A264" s="2">
        <v>263</v>
      </c>
      <c r="B264" s="3" t="s">
        <v>2582</v>
      </c>
      <c r="C264" s="3" t="s">
        <v>2702</v>
      </c>
      <c r="D264" s="3" t="s">
        <v>2703</v>
      </c>
      <c r="E264" s="2" t="s">
        <v>415</v>
      </c>
      <c r="F264" s="2" t="s">
        <v>43</v>
      </c>
      <c r="G264" s="3" t="s">
        <v>2704</v>
      </c>
      <c r="H264" s="2" t="s">
        <v>2705</v>
      </c>
      <c r="I264" s="3" t="s">
        <v>29</v>
      </c>
      <c r="J264" s="3" t="s">
        <v>2706</v>
      </c>
      <c r="K264" s="3" t="s">
        <v>47</v>
      </c>
      <c r="L264" s="3" t="s">
        <v>989</v>
      </c>
      <c r="M264" s="3" t="s">
        <v>2707</v>
      </c>
      <c r="N264" s="3" t="s">
        <v>2708</v>
      </c>
      <c r="O264" s="3" t="s">
        <v>2709</v>
      </c>
      <c r="P264" s="3" t="s">
        <v>2710</v>
      </c>
      <c r="Q264" s="3" t="s">
        <v>2711</v>
      </c>
      <c r="R264" s="3" t="s">
        <v>2711</v>
      </c>
      <c r="S264" s="2" t="s">
        <v>38</v>
      </c>
      <c r="T264" s="2" t="s">
        <v>39</v>
      </c>
      <c r="U264" s="2" t="s">
        <v>40</v>
      </c>
      <c r="V264" s="3"/>
    </row>
    <row r="265" spans="1:22">
      <c r="A265" s="2">
        <v>264</v>
      </c>
      <c r="B265" s="3" t="s">
        <v>2582</v>
      </c>
      <c r="C265" s="3" t="s">
        <v>2712</v>
      </c>
      <c r="D265" s="3" t="s">
        <v>2713</v>
      </c>
      <c r="E265" s="2" t="s">
        <v>506</v>
      </c>
      <c r="F265" s="2" t="s">
        <v>26</v>
      </c>
      <c r="G265" s="3" t="s">
        <v>2714</v>
      </c>
      <c r="H265" s="2" t="s">
        <v>2715</v>
      </c>
      <c r="I265" s="3" t="s">
        <v>29</v>
      </c>
      <c r="J265" s="3" t="s">
        <v>2716</v>
      </c>
      <c r="K265" s="3" t="s">
        <v>272</v>
      </c>
      <c r="L265" s="3" t="s">
        <v>323</v>
      </c>
      <c r="M265" s="3" t="s">
        <v>2717</v>
      </c>
      <c r="N265" s="3" t="s">
        <v>2718</v>
      </c>
      <c r="O265" s="3" t="s">
        <v>2719</v>
      </c>
      <c r="P265" s="3" t="s">
        <v>2720</v>
      </c>
      <c r="Q265" s="3" t="s">
        <v>2721</v>
      </c>
      <c r="R265" s="3" t="s">
        <v>2721</v>
      </c>
      <c r="S265" s="2" t="s">
        <v>38</v>
      </c>
      <c r="T265" s="2" t="s">
        <v>39</v>
      </c>
      <c r="U265" s="2" t="s">
        <v>40</v>
      </c>
      <c r="V265" s="3"/>
    </row>
    <row r="266" spans="1:22">
      <c r="A266" s="2">
        <v>265</v>
      </c>
      <c r="B266" s="3" t="s">
        <v>2582</v>
      </c>
      <c r="C266" s="3" t="s">
        <v>2722</v>
      </c>
      <c r="D266" s="3" t="s">
        <v>2723</v>
      </c>
      <c r="E266" s="2" t="s">
        <v>69</v>
      </c>
      <c r="F266" s="2" t="s">
        <v>26</v>
      </c>
      <c r="G266" s="3" t="s">
        <v>2724</v>
      </c>
      <c r="H266" s="2" t="s">
        <v>2725</v>
      </c>
      <c r="I266" s="3" t="s">
        <v>29</v>
      </c>
      <c r="J266" s="3" t="s">
        <v>2726</v>
      </c>
      <c r="K266" s="3" t="s">
        <v>272</v>
      </c>
      <c r="L266" s="3" t="s">
        <v>132</v>
      </c>
      <c r="M266" s="3" t="s">
        <v>2727</v>
      </c>
      <c r="N266" s="3" t="s">
        <v>2728</v>
      </c>
      <c r="O266" s="3" t="s">
        <v>2729</v>
      </c>
      <c r="P266" s="3" t="s">
        <v>2730</v>
      </c>
      <c r="Q266" s="3" t="s">
        <v>2731</v>
      </c>
      <c r="R266" s="3" t="s">
        <v>2731</v>
      </c>
      <c r="S266" s="2" t="s">
        <v>38</v>
      </c>
      <c r="T266" s="2" t="s">
        <v>39</v>
      </c>
      <c r="U266" s="2" t="s">
        <v>40</v>
      </c>
      <c r="V266" s="3"/>
    </row>
    <row r="267" spans="1:22">
      <c r="A267" s="2">
        <v>266</v>
      </c>
      <c r="B267" s="3" t="s">
        <v>2582</v>
      </c>
      <c r="C267" s="3" t="s">
        <v>2732</v>
      </c>
      <c r="D267" s="3" t="s">
        <v>2733</v>
      </c>
      <c r="E267" s="2" t="s">
        <v>415</v>
      </c>
      <c r="F267" s="2" t="s">
        <v>43</v>
      </c>
      <c r="G267" s="3" t="s">
        <v>2734</v>
      </c>
      <c r="H267" s="2" t="s">
        <v>2735</v>
      </c>
      <c r="I267" s="3" t="s">
        <v>29</v>
      </c>
      <c r="J267" s="3" t="s">
        <v>2736</v>
      </c>
      <c r="K267" s="3" t="s">
        <v>31</v>
      </c>
      <c r="L267" s="3" t="s">
        <v>989</v>
      </c>
      <c r="M267" s="3" t="s">
        <v>2737</v>
      </c>
      <c r="N267" s="3" t="s">
        <v>2738</v>
      </c>
      <c r="O267" s="3" t="s">
        <v>2739</v>
      </c>
      <c r="P267" s="3" t="s">
        <v>2740</v>
      </c>
      <c r="Q267" s="3" t="s">
        <v>2741</v>
      </c>
      <c r="R267" s="3" t="s">
        <v>2741</v>
      </c>
      <c r="S267" s="2" t="s">
        <v>38</v>
      </c>
      <c r="T267" s="2" t="s">
        <v>39</v>
      </c>
      <c r="U267" s="2" t="s">
        <v>40</v>
      </c>
      <c r="V267" s="3"/>
    </row>
    <row r="268" spans="1:22">
      <c r="A268" s="2">
        <v>267</v>
      </c>
      <c r="B268" s="3" t="s">
        <v>2582</v>
      </c>
      <c r="C268" s="3" t="s">
        <v>2742</v>
      </c>
      <c r="D268" s="3" t="s">
        <v>2743</v>
      </c>
      <c r="E268" s="2" t="s">
        <v>103</v>
      </c>
      <c r="F268" s="2" t="s">
        <v>26</v>
      </c>
      <c r="G268" s="3" t="s">
        <v>2744</v>
      </c>
      <c r="H268" s="2" t="s">
        <v>2745</v>
      </c>
      <c r="I268" s="3" t="s">
        <v>29</v>
      </c>
      <c r="J268" s="3" t="s">
        <v>2746</v>
      </c>
      <c r="K268" s="3" t="s">
        <v>47</v>
      </c>
      <c r="L268" s="3" t="s">
        <v>323</v>
      </c>
      <c r="M268" s="3" t="s">
        <v>2747</v>
      </c>
      <c r="N268" s="3" t="s">
        <v>2748</v>
      </c>
      <c r="O268" s="3" t="s">
        <v>2749</v>
      </c>
      <c r="P268" s="3" t="s">
        <v>2750</v>
      </c>
      <c r="Q268" s="3" t="s">
        <v>2751</v>
      </c>
      <c r="R268" s="3" t="s">
        <v>2751</v>
      </c>
      <c r="S268" s="2" t="s">
        <v>38</v>
      </c>
      <c r="T268" s="2" t="s">
        <v>39</v>
      </c>
      <c r="U268" s="2" t="s">
        <v>40</v>
      </c>
      <c r="V268" s="3"/>
    </row>
    <row r="269" spans="1:22">
      <c r="A269" s="2">
        <v>268</v>
      </c>
      <c r="B269" s="3" t="s">
        <v>2582</v>
      </c>
      <c r="C269" s="3" t="s">
        <v>2752</v>
      </c>
      <c r="D269" s="3" t="s">
        <v>2753</v>
      </c>
      <c r="E269" s="2" t="s">
        <v>506</v>
      </c>
      <c r="F269" s="2" t="s">
        <v>43</v>
      </c>
      <c r="G269" s="3" t="s">
        <v>2754</v>
      </c>
      <c r="H269" s="2" t="s">
        <v>2755</v>
      </c>
      <c r="I269" s="3" t="s">
        <v>29</v>
      </c>
      <c r="J269" s="3" t="s">
        <v>2756</v>
      </c>
      <c r="K269" s="3" t="s">
        <v>47</v>
      </c>
      <c r="L269" s="3" t="s">
        <v>156</v>
      </c>
      <c r="M269" s="3" t="s">
        <v>2757</v>
      </c>
      <c r="N269" s="3" t="s">
        <v>2758</v>
      </c>
      <c r="O269" s="3" t="s">
        <v>2759</v>
      </c>
      <c r="P269" s="3" t="s">
        <v>2760</v>
      </c>
      <c r="Q269" s="3" t="s">
        <v>2761</v>
      </c>
      <c r="R269" s="3" t="s">
        <v>2761</v>
      </c>
      <c r="S269" s="2" t="s">
        <v>38</v>
      </c>
      <c r="T269" s="2" t="s">
        <v>39</v>
      </c>
      <c r="U269" s="2" t="s">
        <v>40</v>
      </c>
      <c r="V269" s="3"/>
    </row>
    <row r="270" spans="1:22">
      <c r="A270" s="2">
        <v>269</v>
      </c>
      <c r="B270" s="3" t="s">
        <v>2582</v>
      </c>
      <c r="C270" s="3" t="s">
        <v>2762</v>
      </c>
      <c r="D270" s="3" t="s">
        <v>2763</v>
      </c>
      <c r="E270" s="2" t="s">
        <v>404</v>
      </c>
      <c r="F270" s="2" t="s">
        <v>26</v>
      </c>
      <c r="G270" s="3" t="s">
        <v>2764</v>
      </c>
      <c r="H270" s="2" t="s">
        <v>2765</v>
      </c>
      <c r="I270" s="3" t="s">
        <v>29</v>
      </c>
      <c r="J270" s="3" t="s">
        <v>2766</v>
      </c>
      <c r="K270" s="3" t="s">
        <v>47</v>
      </c>
      <c r="L270" s="3" t="s">
        <v>132</v>
      </c>
      <c r="M270" s="3" t="s">
        <v>2767</v>
      </c>
      <c r="N270" s="3" t="s">
        <v>2768</v>
      </c>
      <c r="O270" s="3" t="s">
        <v>2769</v>
      </c>
      <c r="P270" s="3" t="s">
        <v>2770</v>
      </c>
      <c r="Q270" s="3" t="s">
        <v>2771</v>
      </c>
      <c r="R270" s="3" t="s">
        <v>2771</v>
      </c>
      <c r="S270" s="2" t="s">
        <v>38</v>
      </c>
      <c r="T270" s="2" t="s">
        <v>39</v>
      </c>
      <c r="U270" s="2" t="s">
        <v>40</v>
      </c>
      <c r="V270" s="3"/>
    </row>
    <row r="271" spans="1:22">
      <c r="A271" s="2">
        <v>270</v>
      </c>
      <c r="B271" s="3" t="s">
        <v>2582</v>
      </c>
      <c r="C271" s="3" t="s">
        <v>2772</v>
      </c>
      <c r="D271" s="3" t="s">
        <v>2773</v>
      </c>
      <c r="E271" s="2" t="s">
        <v>506</v>
      </c>
      <c r="F271" s="2" t="s">
        <v>26</v>
      </c>
      <c r="G271" s="3" t="s">
        <v>2774</v>
      </c>
      <c r="H271" s="2" t="s">
        <v>2775</v>
      </c>
      <c r="I271" s="3" t="s">
        <v>29</v>
      </c>
      <c r="J271" s="3" t="s">
        <v>2776</v>
      </c>
      <c r="K271" s="3" t="s">
        <v>47</v>
      </c>
      <c r="L271" s="3" t="s">
        <v>323</v>
      </c>
      <c r="M271" s="3" t="s">
        <v>2777</v>
      </c>
      <c r="N271" s="3" t="s">
        <v>2778</v>
      </c>
      <c r="O271" s="3" t="s">
        <v>2779</v>
      </c>
      <c r="P271" s="3" t="s">
        <v>2780</v>
      </c>
      <c r="Q271" s="3" t="s">
        <v>2781</v>
      </c>
      <c r="R271" s="3" t="s">
        <v>2781</v>
      </c>
      <c r="S271" s="2" t="s">
        <v>38</v>
      </c>
      <c r="T271" s="2" t="s">
        <v>39</v>
      </c>
      <c r="U271" s="2" t="s">
        <v>40</v>
      </c>
      <c r="V271" s="3"/>
    </row>
    <row r="272" spans="1:22">
      <c r="A272" s="2">
        <v>271</v>
      </c>
      <c r="B272" s="3" t="s">
        <v>2582</v>
      </c>
      <c r="C272" s="3" t="s">
        <v>2782</v>
      </c>
      <c r="D272" s="3" t="s">
        <v>2783</v>
      </c>
      <c r="E272" s="2" t="s">
        <v>351</v>
      </c>
      <c r="F272" s="2" t="s">
        <v>43</v>
      </c>
      <c r="G272" s="3" t="s">
        <v>2784</v>
      </c>
      <c r="H272" s="2" t="s">
        <v>2785</v>
      </c>
      <c r="I272" s="3" t="s">
        <v>29</v>
      </c>
      <c r="J272" s="3" t="s">
        <v>2786</v>
      </c>
      <c r="K272" s="3" t="s">
        <v>47</v>
      </c>
      <c r="L272" s="3" t="s">
        <v>989</v>
      </c>
      <c r="M272" s="3" t="s">
        <v>2787</v>
      </c>
      <c r="N272" s="3" t="s">
        <v>2788</v>
      </c>
      <c r="O272" s="3" t="s">
        <v>2789</v>
      </c>
      <c r="P272" s="3" t="s">
        <v>2790</v>
      </c>
      <c r="Q272" s="3" t="s">
        <v>2791</v>
      </c>
      <c r="R272" s="3" t="s">
        <v>2791</v>
      </c>
      <c r="S272" s="2" t="s">
        <v>38</v>
      </c>
      <c r="T272" s="2" t="s">
        <v>39</v>
      </c>
      <c r="U272" s="2" t="s">
        <v>40</v>
      </c>
      <c r="V272" s="3"/>
    </row>
    <row r="273" spans="1:22">
      <c r="A273" s="2">
        <v>272</v>
      </c>
      <c r="B273" s="3" t="s">
        <v>2582</v>
      </c>
      <c r="C273" s="3" t="s">
        <v>2792</v>
      </c>
      <c r="D273" s="3" t="s">
        <v>2793</v>
      </c>
      <c r="E273" s="2" t="s">
        <v>25</v>
      </c>
      <c r="F273" s="2" t="s">
        <v>43</v>
      </c>
      <c r="G273" s="3" t="s">
        <v>2794</v>
      </c>
      <c r="H273" s="2" t="s">
        <v>2795</v>
      </c>
      <c r="I273" s="3" t="s">
        <v>29</v>
      </c>
      <c r="J273" s="3" t="s">
        <v>2796</v>
      </c>
      <c r="K273" s="3" t="s">
        <v>47</v>
      </c>
      <c r="L273" s="3" t="s">
        <v>167</v>
      </c>
      <c r="M273" s="3" t="s">
        <v>2797</v>
      </c>
      <c r="N273" s="3" t="s">
        <v>2798</v>
      </c>
      <c r="O273" s="3" t="s">
        <v>2799</v>
      </c>
      <c r="P273" s="3" t="s">
        <v>2800</v>
      </c>
      <c r="Q273" s="3" t="s">
        <v>2801</v>
      </c>
      <c r="R273" s="3" t="s">
        <v>2801</v>
      </c>
      <c r="S273" s="2" t="s">
        <v>38</v>
      </c>
      <c r="T273" s="2" t="s">
        <v>39</v>
      </c>
      <c r="U273" s="2" t="s">
        <v>40</v>
      </c>
      <c r="V273" s="3"/>
    </row>
    <row r="274" spans="1:22">
      <c r="A274" s="2">
        <v>273</v>
      </c>
      <c r="B274" s="3" t="s">
        <v>2582</v>
      </c>
      <c r="C274" s="3" t="s">
        <v>2802</v>
      </c>
      <c r="D274" s="3" t="s">
        <v>2803</v>
      </c>
      <c r="E274" s="2" t="s">
        <v>506</v>
      </c>
      <c r="F274" s="2" t="s">
        <v>26</v>
      </c>
      <c r="G274" s="3" t="s">
        <v>2804</v>
      </c>
      <c r="H274" s="2" t="s">
        <v>2805</v>
      </c>
      <c r="I274" s="3" t="s">
        <v>29</v>
      </c>
      <c r="J274" s="3" t="s">
        <v>2806</v>
      </c>
      <c r="K274" s="3" t="s">
        <v>47</v>
      </c>
      <c r="L274" s="3" t="s">
        <v>323</v>
      </c>
      <c r="M274" s="3" t="s">
        <v>2807</v>
      </c>
      <c r="N274" s="3" t="s">
        <v>2808</v>
      </c>
      <c r="O274" s="3" t="s">
        <v>2809</v>
      </c>
      <c r="P274" s="3" t="s">
        <v>2810</v>
      </c>
      <c r="Q274" s="3" t="s">
        <v>2811</v>
      </c>
      <c r="R274" s="3" t="s">
        <v>2811</v>
      </c>
      <c r="S274" s="2" t="s">
        <v>38</v>
      </c>
      <c r="T274" s="2" t="s">
        <v>39</v>
      </c>
      <c r="U274" s="2" t="s">
        <v>40</v>
      </c>
      <c r="V274" s="3"/>
    </row>
    <row r="275" spans="1:22">
      <c r="A275" s="2">
        <v>274</v>
      </c>
      <c r="B275" s="3" t="s">
        <v>2582</v>
      </c>
      <c r="C275" s="3" t="s">
        <v>2812</v>
      </c>
      <c r="D275" s="3" t="s">
        <v>2813</v>
      </c>
      <c r="E275" s="2" t="s">
        <v>621</v>
      </c>
      <c r="F275" s="2" t="s">
        <v>26</v>
      </c>
      <c r="G275" s="3" t="s">
        <v>2814</v>
      </c>
      <c r="H275" s="2" t="s">
        <v>2815</v>
      </c>
      <c r="I275" s="3" t="s">
        <v>29</v>
      </c>
      <c r="J275" s="3" t="s">
        <v>2816</v>
      </c>
      <c r="K275" s="3" t="s">
        <v>47</v>
      </c>
      <c r="L275" s="3" t="s">
        <v>293</v>
      </c>
      <c r="M275" s="3" t="s">
        <v>2817</v>
      </c>
      <c r="N275" s="3" t="s">
        <v>2818</v>
      </c>
      <c r="O275" s="3" t="s">
        <v>2819</v>
      </c>
      <c r="P275" s="3" t="s">
        <v>2820</v>
      </c>
      <c r="Q275" s="3" t="s">
        <v>2821</v>
      </c>
      <c r="R275" s="3" t="s">
        <v>2821</v>
      </c>
      <c r="S275" s="2" t="s">
        <v>38</v>
      </c>
      <c r="T275" s="2" t="s">
        <v>39</v>
      </c>
      <c r="U275" s="2" t="s">
        <v>40</v>
      </c>
      <c r="V275" s="3"/>
    </row>
    <row r="276" spans="1:22">
      <c r="A276" s="2">
        <v>275</v>
      </c>
      <c r="B276" s="3" t="s">
        <v>2582</v>
      </c>
      <c r="C276" s="3" t="s">
        <v>2822</v>
      </c>
      <c r="D276" s="3" t="s">
        <v>2823</v>
      </c>
      <c r="E276" s="2" t="s">
        <v>257</v>
      </c>
      <c r="F276" s="2" t="s">
        <v>26</v>
      </c>
      <c r="G276" s="3" t="s">
        <v>2824</v>
      </c>
      <c r="H276" s="2" t="s">
        <v>2825</v>
      </c>
      <c r="I276" s="3" t="s">
        <v>29</v>
      </c>
      <c r="J276" s="3" t="s">
        <v>2826</v>
      </c>
      <c r="K276" s="3" t="s">
        <v>107</v>
      </c>
      <c r="L276" s="3" t="s">
        <v>32</v>
      </c>
      <c r="M276" s="3" t="s">
        <v>2827</v>
      </c>
      <c r="N276" s="3" t="s">
        <v>2828</v>
      </c>
      <c r="O276" s="3" t="s">
        <v>2829</v>
      </c>
      <c r="P276" s="3" t="s">
        <v>2830</v>
      </c>
      <c r="Q276" s="3" t="s">
        <v>2831</v>
      </c>
      <c r="R276" s="3" t="s">
        <v>2831</v>
      </c>
      <c r="S276" s="2" t="s">
        <v>38</v>
      </c>
      <c r="T276" s="2" t="s">
        <v>39</v>
      </c>
      <c r="U276" s="2" t="s">
        <v>40</v>
      </c>
      <c r="V276" s="3"/>
    </row>
    <row r="277" spans="1:22">
      <c r="A277" s="2">
        <v>276</v>
      </c>
      <c r="B277" s="3" t="s">
        <v>2582</v>
      </c>
      <c r="C277" s="3" t="s">
        <v>2832</v>
      </c>
      <c r="D277" s="3" t="s">
        <v>2833</v>
      </c>
      <c r="E277" s="2" t="s">
        <v>185</v>
      </c>
      <c r="F277" s="2" t="s">
        <v>26</v>
      </c>
      <c r="G277" s="3" t="s">
        <v>2834</v>
      </c>
      <c r="H277" s="2" t="s">
        <v>2835</v>
      </c>
      <c r="I277" s="3" t="s">
        <v>29</v>
      </c>
      <c r="J277" s="3" t="s">
        <v>2836</v>
      </c>
      <c r="K277" s="3" t="s">
        <v>47</v>
      </c>
      <c r="L277" s="3" t="s">
        <v>603</v>
      </c>
      <c r="M277" s="3" t="s">
        <v>2837</v>
      </c>
      <c r="N277" s="3" t="s">
        <v>2838</v>
      </c>
      <c r="O277" s="3" t="s">
        <v>2839</v>
      </c>
      <c r="P277" s="3" t="s">
        <v>2840</v>
      </c>
      <c r="Q277" s="3" t="s">
        <v>2841</v>
      </c>
      <c r="R277" s="3" t="s">
        <v>2841</v>
      </c>
      <c r="S277" s="2" t="s">
        <v>38</v>
      </c>
      <c r="T277" s="2" t="s">
        <v>39</v>
      </c>
      <c r="U277" s="2" t="s">
        <v>40</v>
      </c>
      <c r="V277" s="3"/>
    </row>
    <row r="278" spans="1:22">
      <c r="A278" s="2">
        <v>277</v>
      </c>
      <c r="B278" s="3" t="s">
        <v>2582</v>
      </c>
      <c r="C278" s="3" t="s">
        <v>2842</v>
      </c>
      <c r="D278" s="3" t="s">
        <v>2843</v>
      </c>
      <c r="E278" s="2" t="s">
        <v>621</v>
      </c>
      <c r="F278" s="2" t="s">
        <v>26</v>
      </c>
      <c r="G278" s="3" t="s">
        <v>2844</v>
      </c>
      <c r="H278" s="2" t="s">
        <v>2845</v>
      </c>
      <c r="I278" s="3" t="s">
        <v>29</v>
      </c>
      <c r="J278" s="3" t="s">
        <v>2846</v>
      </c>
      <c r="K278" s="3" t="s">
        <v>272</v>
      </c>
      <c r="L278" s="3" t="s">
        <v>323</v>
      </c>
      <c r="M278" s="3" t="s">
        <v>2847</v>
      </c>
      <c r="N278" s="3" t="s">
        <v>2848</v>
      </c>
      <c r="O278" s="3" t="s">
        <v>2849</v>
      </c>
      <c r="P278" s="3" t="s">
        <v>2850</v>
      </c>
      <c r="Q278" s="3" t="s">
        <v>2851</v>
      </c>
      <c r="R278" s="3" t="s">
        <v>2851</v>
      </c>
      <c r="S278" s="2" t="s">
        <v>38</v>
      </c>
      <c r="T278" s="2" t="s">
        <v>39</v>
      </c>
      <c r="U278" s="2" t="s">
        <v>40</v>
      </c>
      <c r="V278" s="3"/>
    </row>
    <row r="279" spans="1:22">
      <c r="A279" s="2">
        <v>278</v>
      </c>
      <c r="B279" s="3" t="s">
        <v>2582</v>
      </c>
      <c r="C279" s="3" t="s">
        <v>2852</v>
      </c>
      <c r="D279" s="3" t="s">
        <v>2853</v>
      </c>
      <c r="E279" s="2" t="s">
        <v>185</v>
      </c>
      <c r="F279" s="2" t="s">
        <v>26</v>
      </c>
      <c r="G279" s="3" t="s">
        <v>2854</v>
      </c>
      <c r="H279" s="2" t="s">
        <v>2855</v>
      </c>
      <c r="I279" s="3" t="s">
        <v>29</v>
      </c>
      <c r="J279" s="3" t="s">
        <v>2856</v>
      </c>
      <c r="K279" s="3" t="s">
        <v>272</v>
      </c>
      <c r="L279" s="3" t="s">
        <v>323</v>
      </c>
      <c r="M279" s="3" t="s">
        <v>2857</v>
      </c>
      <c r="N279" s="3" t="s">
        <v>2858</v>
      </c>
      <c r="O279" s="3" t="s">
        <v>2859</v>
      </c>
      <c r="P279" s="3" t="s">
        <v>2860</v>
      </c>
      <c r="Q279" s="3" t="s">
        <v>2861</v>
      </c>
      <c r="R279" s="3" t="s">
        <v>2861</v>
      </c>
      <c r="S279" s="2" t="s">
        <v>38</v>
      </c>
      <c r="T279" s="2" t="s">
        <v>39</v>
      </c>
      <c r="U279" s="2" t="s">
        <v>40</v>
      </c>
      <c r="V279" s="3"/>
    </row>
    <row r="280" spans="1:22">
      <c r="A280" s="2">
        <v>279</v>
      </c>
      <c r="B280" s="3" t="s">
        <v>2582</v>
      </c>
      <c r="C280" s="3" t="s">
        <v>2862</v>
      </c>
      <c r="D280" s="3" t="s">
        <v>2863</v>
      </c>
      <c r="E280" s="2" t="s">
        <v>404</v>
      </c>
      <c r="F280" s="2" t="s">
        <v>26</v>
      </c>
      <c r="G280" s="3" t="s">
        <v>2864</v>
      </c>
      <c r="H280" s="2" t="s">
        <v>2865</v>
      </c>
      <c r="I280" s="3" t="s">
        <v>29</v>
      </c>
      <c r="J280" s="3" t="s">
        <v>2866</v>
      </c>
      <c r="K280" s="3" t="s">
        <v>47</v>
      </c>
      <c r="L280" s="3" t="s">
        <v>132</v>
      </c>
      <c r="M280" s="3" t="s">
        <v>2867</v>
      </c>
      <c r="N280" s="3" t="s">
        <v>2868</v>
      </c>
      <c r="O280" s="3" t="s">
        <v>2869</v>
      </c>
      <c r="P280" s="3" t="s">
        <v>2870</v>
      </c>
      <c r="Q280" s="3" t="s">
        <v>2871</v>
      </c>
      <c r="R280" s="3" t="s">
        <v>2871</v>
      </c>
      <c r="S280" s="2" t="s">
        <v>38</v>
      </c>
      <c r="T280" s="2" t="s">
        <v>39</v>
      </c>
      <c r="U280" s="2" t="s">
        <v>40</v>
      </c>
      <c r="V280" s="3"/>
    </row>
    <row r="281" spans="1:22">
      <c r="A281" s="2">
        <v>280</v>
      </c>
      <c r="B281" s="3" t="s">
        <v>2582</v>
      </c>
      <c r="C281" s="3" t="s">
        <v>2872</v>
      </c>
      <c r="D281" s="3" t="s">
        <v>2873</v>
      </c>
      <c r="E281" s="2" t="s">
        <v>351</v>
      </c>
      <c r="F281" s="2" t="s">
        <v>26</v>
      </c>
      <c r="G281" s="3" t="s">
        <v>2874</v>
      </c>
      <c r="H281" s="2" t="s">
        <v>2875</v>
      </c>
      <c r="I281" s="3" t="s">
        <v>29</v>
      </c>
      <c r="J281" s="3" t="s">
        <v>2876</v>
      </c>
      <c r="K281" s="3" t="s">
        <v>47</v>
      </c>
      <c r="L281" s="3" t="s">
        <v>132</v>
      </c>
      <c r="M281" s="3" t="s">
        <v>2877</v>
      </c>
      <c r="N281" s="3" t="s">
        <v>2878</v>
      </c>
      <c r="O281" s="3" t="s">
        <v>2879</v>
      </c>
      <c r="P281" s="3" t="s">
        <v>2880</v>
      </c>
      <c r="Q281" s="3" t="s">
        <v>2881</v>
      </c>
      <c r="R281" s="3" t="s">
        <v>2881</v>
      </c>
      <c r="S281" s="2" t="s">
        <v>38</v>
      </c>
      <c r="T281" s="2" t="s">
        <v>39</v>
      </c>
      <c r="U281" s="2" t="s">
        <v>40</v>
      </c>
      <c r="V281" s="3"/>
    </row>
    <row r="282" spans="1:22">
      <c r="A282" s="2">
        <v>281</v>
      </c>
      <c r="B282" s="3" t="s">
        <v>2582</v>
      </c>
      <c r="C282" s="3" t="s">
        <v>2882</v>
      </c>
      <c r="D282" s="3" t="s">
        <v>2883</v>
      </c>
      <c r="E282" s="2" t="s">
        <v>140</v>
      </c>
      <c r="F282" s="2" t="s">
        <v>43</v>
      </c>
      <c r="G282" s="3" t="s">
        <v>2884</v>
      </c>
      <c r="H282" s="2" t="s">
        <v>2885</v>
      </c>
      <c r="I282" s="3" t="s">
        <v>29</v>
      </c>
      <c r="J282" s="3" t="s">
        <v>2886</v>
      </c>
      <c r="K282" s="3" t="s">
        <v>47</v>
      </c>
      <c r="L282" s="3" t="s">
        <v>323</v>
      </c>
      <c r="M282" s="3" t="s">
        <v>2887</v>
      </c>
      <c r="N282" s="3" t="s">
        <v>2888</v>
      </c>
      <c r="O282" s="3" t="s">
        <v>2889</v>
      </c>
      <c r="P282" s="3" t="s">
        <v>2890</v>
      </c>
      <c r="Q282" s="3" t="s">
        <v>2891</v>
      </c>
      <c r="R282" s="3" t="s">
        <v>2891</v>
      </c>
      <c r="S282" s="2" t="s">
        <v>38</v>
      </c>
      <c r="T282" s="2" t="s">
        <v>39</v>
      </c>
      <c r="U282" s="2" t="s">
        <v>40</v>
      </c>
      <c r="V282" s="3"/>
    </row>
    <row r="283" spans="1:22">
      <c r="A283" s="2">
        <v>282</v>
      </c>
      <c r="B283" s="3" t="s">
        <v>2582</v>
      </c>
      <c r="C283" s="3" t="s">
        <v>2892</v>
      </c>
      <c r="D283" s="3" t="s">
        <v>2893</v>
      </c>
      <c r="E283" s="2" t="s">
        <v>56</v>
      </c>
      <c r="F283" s="2" t="s">
        <v>43</v>
      </c>
      <c r="G283" s="3" t="s">
        <v>2894</v>
      </c>
      <c r="H283" s="2" t="s">
        <v>2895</v>
      </c>
      <c r="I283" s="3" t="s">
        <v>29</v>
      </c>
      <c r="J283" s="3" t="s">
        <v>2896</v>
      </c>
      <c r="K283" s="3" t="s">
        <v>47</v>
      </c>
      <c r="L283" s="3" t="s">
        <v>145</v>
      </c>
      <c r="M283" s="3" t="s">
        <v>2897</v>
      </c>
      <c r="N283" s="3" t="s">
        <v>2898</v>
      </c>
      <c r="O283" s="3" t="s">
        <v>2899</v>
      </c>
      <c r="P283" s="3" t="s">
        <v>2900</v>
      </c>
      <c r="Q283" s="3" t="s">
        <v>2901</v>
      </c>
      <c r="R283" s="3" t="s">
        <v>2901</v>
      </c>
      <c r="S283" s="2" t="s">
        <v>38</v>
      </c>
      <c r="T283" s="2" t="s">
        <v>39</v>
      </c>
      <c r="U283" s="2" t="s">
        <v>40</v>
      </c>
      <c r="V283" s="3"/>
    </row>
    <row r="284" spans="1:22">
      <c r="A284" s="2">
        <v>283</v>
      </c>
      <c r="B284" s="3" t="s">
        <v>2582</v>
      </c>
      <c r="C284" s="3" t="s">
        <v>2902</v>
      </c>
      <c r="D284" s="3" t="s">
        <v>2903</v>
      </c>
      <c r="E284" s="2" t="s">
        <v>116</v>
      </c>
      <c r="F284" s="2" t="s">
        <v>26</v>
      </c>
      <c r="G284" s="3" t="s">
        <v>2904</v>
      </c>
      <c r="H284" s="2" t="s">
        <v>2905</v>
      </c>
      <c r="I284" s="3" t="s">
        <v>29</v>
      </c>
      <c r="J284" s="3" t="s">
        <v>2906</v>
      </c>
      <c r="K284" s="3" t="s">
        <v>47</v>
      </c>
      <c r="L284" s="3" t="s">
        <v>448</v>
      </c>
      <c r="M284" s="3" t="s">
        <v>2907</v>
      </c>
      <c r="N284" s="3" t="s">
        <v>2908</v>
      </c>
      <c r="O284" s="3" t="s">
        <v>2909</v>
      </c>
      <c r="P284" s="3" t="s">
        <v>2910</v>
      </c>
      <c r="Q284" s="3" t="s">
        <v>2911</v>
      </c>
      <c r="R284" s="3" t="s">
        <v>2911</v>
      </c>
      <c r="S284" s="2" t="s">
        <v>38</v>
      </c>
      <c r="T284" s="2" t="s">
        <v>39</v>
      </c>
      <c r="U284" s="2" t="s">
        <v>40</v>
      </c>
      <c r="V284" s="3"/>
    </row>
    <row r="285" spans="1:22">
      <c r="A285" s="2">
        <v>284</v>
      </c>
      <c r="B285" s="3" t="s">
        <v>2582</v>
      </c>
      <c r="C285" s="3" t="s">
        <v>2912</v>
      </c>
      <c r="D285" s="3" t="s">
        <v>2913</v>
      </c>
      <c r="E285" s="2" t="s">
        <v>56</v>
      </c>
      <c r="F285" s="2" t="s">
        <v>43</v>
      </c>
      <c r="G285" s="3" t="s">
        <v>2914</v>
      </c>
      <c r="H285" s="2" t="s">
        <v>2915</v>
      </c>
      <c r="I285" s="3" t="s">
        <v>29</v>
      </c>
      <c r="J285" s="3" t="s">
        <v>2916</v>
      </c>
      <c r="K285" s="3" t="s">
        <v>47</v>
      </c>
      <c r="L285" s="3" t="s">
        <v>167</v>
      </c>
      <c r="M285" s="3" t="s">
        <v>2917</v>
      </c>
      <c r="N285" s="3" t="s">
        <v>2918</v>
      </c>
      <c r="O285" s="3" t="s">
        <v>2919</v>
      </c>
      <c r="P285" s="3" t="s">
        <v>2920</v>
      </c>
      <c r="Q285" s="3" t="s">
        <v>2921</v>
      </c>
      <c r="R285" s="3" t="s">
        <v>2921</v>
      </c>
      <c r="S285" s="2" t="s">
        <v>38</v>
      </c>
      <c r="T285" s="2" t="s">
        <v>39</v>
      </c>
      <c r="U285" s="2" t="s">
        <v>40</v>
      </c>
      <c r="V285" s="3"/>
    </row>
    <row r="286" spans="1:22">
      <c r="A286" s="2">
        <v>285</v>
      </c>
      <c r="B286" s="3" t="s">
        <v>2582</v>
      </c>
      <c r="C286" s="3" t="s">
        <v>2922</v>
      </c>
      <c r="D286" s="3" t="s">
        <v>2923</v>
      </c>
      <c r="E286" s="2" t="s">
        <v>206</v>
      </c>
      <c r="F286" s="2" t="s">
        <v>26</v>
      </c>
      <c r="G286" s="3" t="s">
        <v>2924</v>
      </c>
      <c r="H286" s="2" t="s">
        <v>2925</v>
      </c>
      <c r="I286" s="3" t="s">
        <v>29</v>
      </c>
      <c r="J286" s="3" t="s">
        <v>2926</v>
      </c>
      <c r="K286" s="3" t="s">
        <v>47</v>
      </c>
      <c r="L286" s="3" t="s">
        <v>167</v>
      </c>
      <c r="M286" s="3" t="s">
        <v>2927</v>
      </c>
      <c r="N286" s="3" t="s">
        <v>2928</v>
      </c>
      <c r="O286" s="3" t="s">
        <v>2929</v>
      </c>
      <c r="P286" s="3" t="s">
        <v>2930</v>
      </c>
      <c r="Q286" s="3" t="s">
        <v>2931</v>
      </c>
      <c r="R286" s="3" t="s">
        <v>2931</v>
      </c>
      <c r="S286" s="2" t="s">
        <v>38</v>
      </c>
      <c r="T286" s="2" t="s">
        <v>39</v>
      </c>
      <c r="U286" s="2" t="s">
        <v>40</v>
      </c>
      <c r="V286" s="3"/>
    </row>
    <row r="287" spans="1:22">
      <c r="A287" s="2">
        <v>286</v>
      </c>
      <c r="B287" s="3" t="s">
        <v>2582</v>
      </c>
      <c r="C287" s="3" t="s">
        <v>2932</v>
      </c>
      <c r="D287" s="3" t="s">
        <v>2933</v>
      </c>
      <c r="E287" s="2" t="s">
        <v>103</v>
      </c>
      <c r="F287" s="2" t="s">
        <v>43</v>
      </c>
      <c r="G287" s="3" t="s">
        <v>2934</v>
      </c>
      <c r="H287" s="2" t="s">
        <v>2935</v>
      </c>
      <c r="I287" s="3" t="s">
        <v>29</v>
      </c>
      <c r="J287" s="3" t="s">
        <v>2936</v>
      </c>
      <c r="K287" s="3" t="s">
        <v>31</v>
      </c>
      <c r="L287" s="3" t="s">
        <v>167</v>
      </c>
      <c r="M287" s="3" t="s">
        <v>2937</v>
      </c>
      <c r="N287" s="3" t="s">
        <v>2938</v>
      </c>
      <c r="O287" s="3" t="s">
        <v>2939</v>
      </c>
      <c r="P287" s="3" t="s">
        <v>2940</v>
      </c>
      <c r="Q287" s="3" t="s">
        <v>2941</v>
      </c>
      <c r="R287" s="3" t="s">
        <v>2941</v>
      </c>
      <c r="S287" s="2" t="s">
        <v>38</v>
      </c>
      <c r="T287" s="2" t="s">
        <v>39</v>
      </c>
      <c r="U287" s="2" t="s">
        <v>40</v>
      </c>
      <c r="V287" s="3"/>
    </row>
    <row r="288" spans="1:22">
      <c r="A288" s="2">
        <v>287</v>
      </c>
      <c r="B288" s="3" t="s">
        <v>2582</v>
      </c>
      <c r="C288" s="3" t="s">
        <v>2942</v>
      </c>
      <c r="D288" s="3" t="s">
        <v>2943</v>
      </c>
      <c r="E288" s="2" t="s">
        <v>913</v>
      </c>
      <c r="F288" s="2" t="s">
        <v>43</v>
      </c>
      <c r="G288" s="3" t="s">
        <v>2944</v>
      </c>
      <c r="H288" s="2" t="s">
        <v>2945</v>
      </c>
      <c r="I288" s="3" t="s">
        <v>29</v>
      </c>
      <c r="J288" s="3" t="s">
        <v>2946</v>
      </c>
      <c r="K288" s="3" t="s">
        <v>47</v>
      </c>
      <c r="L288" s="3" t="s">
        <v>167</v>
      </c>
      <c r="M288" s="3" t="s">
        <v>2947</v>
      </c>
      <c r="N288" s="3" t="s">
        <v>2948</v>
      </c>
      <c r="O288" s="3" t="s">
        <v>2949</v>
      </c>
      <c r="P288" s="3" t="s">
        <v>2950</v>
      </c>
      <c r="Q288" s="3" t="s">
        <v>2951</v>
      </c>
      <c r="R288" s="3" t="s">
        <v>2951</v>
      </c>
      <c r="S288" s="2" t="s">
        <v>38</v>
      </c>
      <c r="T288" s="2" t="s">
        <v>39</v>
      </c>
      <c r="U288" s="2" t="s">
        <v>40</v>
      </c>
      <c r="V288" s="3"/>
    </row>
    <row r="289" spans="1:22">
      <c r="A289" s="2">
        <v>288</v>
      </c>
      <c r="B289" s="3" t="s">
        <v>2582</v>
      </c>
      <c r="C289" s="3" t="s">
        <v>2952</v>
      </c>
      <c r="D289" s="3" t="s">
        <v>2953</v>
      </c>
      <c r="E289" s="2" t="s">
        <v>953</v>
      </c>
      <c r="F289" s="2" t="s">
        <v>43</v>
      </c>
      <c r="G289" s="3" t="s">
        <v>2954</v>
      </c>
      <c r="H289" s="2" t="s">
        <v>2955</v>
      </c>
      <c r="I289" s="3" t="s">
        <v>29</v>
      </c>
      <c r="J289" s="3" t="s">
        <v>2956</v>
      </c>
      <c r="K289" s="3" t="s">
        <v>47</v>
      </c>
      <c r="L289" s="3" t="s">
        <v>132</v>
      </c>
      <c r="M289" s="3" t="s">
        <v>2957</v>
      </c>
      <c r="N289" s="3" t="s">
        <v>2958</v>
      </c>
      <c r="O289" s="3" t="s">
        <v>2959</v>
      </c>
      <c r="P289" s="3" t="s">
        <v>2960</v>
      </c>
      <c r="Q289" s="3" t="s">
        <v>2961</v>
      </c>
      <c r="R289" s="3" t="s">
        <v>2961</v>
      </c>
      <c r="S289" s="2" t="s">
        <v>38</v>
      </c>
      <c r="T289" s="2" t="s">
        <v>39</v>
      </c>
      <c r="U289" s="2" t="s">
        <v>40</v>
      </c>
      <c r="V289" s="3"/>
    </row>
    <row r="290" spans="1:22">
      <c r="A290" s="2">
        <v>289</v>
      </c>
      <c r="B290" s="3" t="s">
        <v>2582</v>
      </c>
      <c r="C290" s="3" t="s">
        <v>2962</v>
      </c>
      <c r="D290" s="3" t="s">
        <v>2963</v>
      </c>
      <c r="E290" s="2" t="s">
        <v>81</v>
      </c>
      <c r="F290" s="2" t="s">
        <v>43</v>
      </c>
      <c r="G290" s="3" t="s">
        <v>2964</v>
      </c>
      <c r="H290" s="2" t="s">
        <v>2965</v>
      </c>
      <c r="I290" s="3" t="s">
        <v>29</v>
      </c>
      <c r="J290" s="3" t="s">
        <v>2966</v>
      </c>
      <c r="K290" s="3" t="s">
        <v>272</v>
      </c>
      <c r="L290" s="3" t="s">
        <v>132</v>
      </c>
      <c r="M290" s="3" t="s">
        <v>2967</v>
      </c>
      <c r="N290" s="3" t="s">
        <v>2968</v>
      </c>
      <c r="O290" s="3" t="s">
        <v>2969</v>
      </c>
      <c r="P290" s="3" t="s">
        <v>2970</v>
      </c>
      <c r="Q290" s="3" t="s">
        <v>2971</v>
      </c>
      <c r="R290" s="3" t="s">
        <v>2971</v>
      </c>
      <c r="S290" s="2" t="s">
        <v>38</v>
      </c>
      <c r="T290" s="2" t="s">
        <v>39</v>
      </c>
      <c r="U290" s="2" t="s">
        <v>40</v>
      </c>
      <c r="V290" s="3"/>
    </row>
    <row r="291" spans="1:22">
      <c r="A291" s="2">
        <v>290</v>
      </c>
      <c r="B291" s="3" t="s">
        <v>2582</v>
      </c>
      <c r="C291" s="3" t="s">
        <v>2972</v>
      </c>
      <c r="D291" s="3" t="s">
        <v>2973</v>
      </c>
      <c r="E291" s="2" t="s">
        <v>103</v>
      </c>
      <c r="F291" s="2" t="s">
        <v>43</v>
      </c>
      <c r="G291" s="3" t="s">
        <v>2974</v>
      </c>
      <c r="H291" s="2" t="s">
        <v>2975</v>
      </c>
      <c r="I291" s="3" t="s">
        <v>29</v>
      </c>
      <c r="J291" s="3" t="s">
        <v>2976</v>
      </c>
      <c r="K291" s="3" t="s">
        <v>47</v>
      </c>
      <c r="L291" s="3" t="s">
        <v>145</v>
      </c>
      <c r="M291" s="3" t="s">
        <v>2977</v>
      </c>
      <c r="N291" s="3" t="s">
        <v>2978</v>
      </c>
      <c r="O291" s="3" t="s">
        <v>2979</v>
      </c>
      <c r="P291" s="3" t="s">
        <v>2980</v>
      </c>
      <c r="Q291" s="3" t="s">
        <v>2981</v>
      </c>
      <c r="R291" s="3" t="s">
        <v>2981</v>
      </c>
      <c r="S291" s="2" t="s">
        <v>38</v>
      </c>
      <c r="T291" s="2" t="s">
        <v>39</v>
      </c>
      <c r="U291" s="2" t="s">
        <v>40</v>
      </c>
      <c r="V291" s="3"/>
    </row>
    <row r="292" spans="1:22">
      <c r="A292" s="2">
        <v>291</v>
      </c>
      <c r="B292" s="3" t="s">
        <v>2582</v>
      </c>
      <c r="C292" s="3" t="s">
        <v>2982</v>
      </c>
      <c r="D292" s="3" t="s">
        <v>2983</v>
      </c>
      <c r="E292" s="2" t="s">
        <v>116</v>
      </c>
      <c r="F292" s="2" t="s">
        <v>26</v>
      </c>
      <c r="G292" s="3" t="s">
        <v>2984</v>
      </c>
      <c r="H292" s="2" t="s">
        <v>2985</v>
      </c>
      <c r="I292" s="3" t="s">
        <v>29</v>
      </c>
      <c r="J292" s="3" t="s">
        <v>2986</v>
      </c>
      <c r="K292" s="3" t="s">
        <v>120</v>
      </c>
      <c r="L292" s="3" t="s">
        <v>448</v>
      </c>
      <c r="M292" s="3" t="s">
        <v>2987</v>
      </c>
      <c r="N292" s="3" t="s">
        <v>2988</v>
      </c>
      <c r="O292" s="3" t="s">
        <v>2989</v>
      </c>
      <c r="P292" s="3" t="s">
        <v>2990</v>
      </c>
      <c r="Q292" s="3" t="s">
        <v>2991</v>
      </c>
      <c r="R292" s="3" t="s">
        <v>2991</v>
      </c>
      <c r="S292" s="2" t="s">
        <v>38</v>
      </c>
      <c r="T292" s="2" t="s">
        <v>39</v>
      </c>
      <c r="U292" s="2" t="s">
        <v>40</v>
      </c>
      <c r="V292" s="3"/>
    </row>
    <row r="293" spans="1:22">
      <c r="A293" s="2">
        <v>292</v>
      </c>
      <c r="B293" s="3" t="s">
        <v>2582</v>
      </c>
      <c r="C293" s="3" t="s">
        <v>2992</v>
      </c>
      <c r="D293" s="3" t="s">
        <v>2993</v>
      </c>
      <c r="E293" s="2" t="s">
        <v>257</v>
      </c>
      <c r="F293" s="2" t="s">
        <v>43</v>
      </c>
      <c r="G293" s="3" t="s">
        <v>2994</v>
      </c>
      <c r="H293" s="2" t="s">
        <v>2995</v>
      </c>
      <c r="I293" s="3" t="s">
        <v>29</v>
      </c>
      <c r="J293" s="3" t="s">
        <v>2996</v>
      </c>
      <c r="K293" s="3" t="s">
        <v>541</v>
      </c>
      <c r="L293" s="3" t="s">
        <v>156</v>
      </c>
      <c r="M293" s="3" t="s">
        <v>2997</v>
      </c>
      <c r="N293" s="3" t="s">
        <v>2998</v>
      </c>
      <c r="O293" s="3" t="s">
        <v>2999</v>
      </c>
      <c r="P293" s="3" t="s">
        <v>3000</v>
      </c>
      <c r="Q293" s="3" t="s">
        <v>3001</v>
      </c>
      <c r="R293" s="3" t="s">
        <v>3001</v>
      </c>
      <c r="S293" s="2" t="s">
        <v>38</v>
      </c>
      <c r="T293" s="2" t="s">
        <v>39</v>
      </c>
      <c r="U293" s="2" t="s">
        <v>40</v>
      </c>
      <c r="V293" s="3"/>
    </row>
    <row r="294" spans="1:22">
      <c r="A294" s="2">
        <v>293</v>
      </c>
      <c r="B294" s="3" t="s">
        <v>2582</v>
      </c>
      <c r="C294" s="3" t="s">
        <v>3002</v>
      </c>
      <c r="D294" s="3" t="s">
        <v>3003</v>
      </c>
      <c r="E294" s="2" t="s">
        <v>69</v>
      </c>
      <c r="F294" s="2" t="s">
        <v>26</v>
      </c>
      <c r="G294" s="3" t="s">
        <v>3004</v>
      </c>
      <c r="H294" s="2" t="s">
        <v>3005</v>
      </c>
      <c r="I294" s="3" t="s">
        <v>29</v>
      </c>
      <c r="J294" s="3" t="s">
        <v>3006</v>
      </c>
      <c r="K294" s="3" t="s">
        <v>3007</v>
      </c>
      <c r="L294" s="3" t="s">
        <v>132</v>
      </c>
      <c r="M294" s="3" t="s">
        <v>3008</v>
      </c>
      <c r="N294" s="3" t="s">
        <v>3009</v>
      </c>
      <c r="O294" s="3" t="s">
        <v>3010</v>
      </c>
      <c r="P294" s="3" t="s">
        <v>3011</v>
      </c>
      <c r="Q294" s="3" t="s">
        <v>3012</v>
      </c>
      <c r="R294" s="3" t="s">
        <v>3012</v>
      </c>
      <c r="S294" s="2" t="s">
        <v>38</v>
      </c>
      <c r="T294" s="2" t="s">
        <v>39</v>
      </c>
      <c r="U294" s="2" t="s">
        <v>40</v>
      </c>
      <c r="V294" s="3"/>
    </row>
    <row r="295" spans="1:22">
      <c r="A295" s="2">
        <v>294</v>
      </c>
      <c r="B295" s="3" t="s">
        <v>2582</v>
      </c>
      <c r="C295" s="3" t="s">
        <v>3013</v>
      </c>
      <c r="D295" s="3" t="s">
        <v>3014</v>
      </c>
      <c r="E295" s="2" t="s">
        <v>69</v>
      </c>
      <c r="F295" s="2" t="s">
        <v>26</v>
      </c>
      <c r="G295" s="3" t="s">
        <v>3015</v>
      </c>
      <c r="H295" s="2" t="s">
        <v>3016</v>
      </c>
      <c r="I295" s="3" t="s">
        <v>29</v>
      </c>
      <c r="J295" s="3" t="s">
        <v>3017</v>
      </c>
      <c r="K295" s="3" t="s">
        <v>47</v>
      </c>
      <c r="L295" s="3" t="s">
        <v>32</v>
      </c>
      <c r="M295" s="3" t="s">
        <v>3018</v>
      </c>
      <c r="N295" s="3" t="s">
        <v>3019</v>
      </c>
      <c r="O295" s="3" t="s">
        <v>3020</v>
      </c>
      <c r="P295" s="3" t="s">
        <v>3021</v>
      </c>
      <c r="Q295" s="3" t="s">
        <v>3022</v>
      </c>
      <c r="R295" s="3" t="s">
        <v>3022</v>
      </c>
      <c r="S295" s="2" t="s">
        <v>38</v>
      </c>
      <c r="T295" s="2" t="s">
        <v>39</v>
      </c>
      <c r="U295" s="2" t="s">
        <v>40</v>
      </c>
      <c r="V295" s="3"/>
    </row>
    <row r="296" spans="1:22">
      <c r="A296" s="2">
        <v>295</v>
      </c>
      <c r="B296" s="3" t="s">
        <v>2582</v>
      </c>
      <c r="C296" s="3" t="s">
        <v>3023</v>
      </c>
      <c r="D296" s="3" t="s">
        <v>3024</v>
      </c>
      <c r="E296" s="2" t="s">
        <v>3025</v>
      </c>
      <c r="F296" s="2" t="s">
        <v>26</v>
      </c>
      <c r="G296" s="3" t="s">
        <v>3026</v>
      </c>
      <c r="H296" s="2" t="s">
        <v>3027</v>
      </c>
      <c r="I296" s="3" t="s">
        <v>29</v>
      </c>
      <c r="J296" s="3" t="s">
        <v>3028</v>
      </c>
      <c r="K296" s="3" t="s">
        <v>47</v>
      </c>
      <c r="L296" s="3" t="s">
        <v>323</v>
      </c>
      <c r="M296" s="3" t="s">
        <v>3029</v>
      </c>
      <c r="N296" s="3" t="s">
        <v>3030</v>
      </c>
      <c r="O296" s="3" t="s">
        <v>3031</v>
      </c>
      <c r="P296" s="3" t="s">
        <v>3032</v>
      </c>
      <c r="Q296" s="3" t="s">
        <v>3033</v>
      </c>
      <c r="R296" s="3" t="s">
        <v>3033</v>
      </c>
      <c r="S296" s="2" t="s">
        <v>38</v>
      </c>
      <c r="T296" s="2" t="s">
        <v>39</v>
      </c>
      <c r="U296" s="2" t="s">
        <v>40</v>
      </c>
      <c r="V296" s="3"/>
    </row>
    <row r="297" spans="1:22">
      <c r="A297" s="2">
        <v>296</v>
      </c>
      <c r="B297" s="3" t="s">
        <v>2582</v>
      </c>
      <c r="C297" s="3" t="s">
        <v>3034</v>
      </c>
      <c r="D297" s="3" t="s">
        <v>3035</v>
      </c>
      <c r="E297" s="2" t="s">
        <v>506</v>
      </c>
      <c r="F297" s="2" t="s">
        <v>26</v>
      </c>
      <c r="G297" s="3" t="s">
        <v>3036</v>
      </c>
      <c r="H297" s="2" t="s">
        <v>3037</v>
      </c>
      <c r="I297" s="3" t="s">
        <v>29</v>
      </c>
      <c r="J297" s="3" t="s">
        <v>3038</v>
      </c>
      <c r="K297" s="3" t="s">
        <v>47</v>
      </c>
      <c r="L297" s="3" t="s">
        <v>323</v>
      </c>
      <c r="M297" s="3" t="s">
        <v>3039</v>
      </c>
      <c r="N297" s="3" t="s">
        <v>3040</v>
      </c>
      <c r="O297" s="3" t="s">
        <v>3041</v>
      </c>
      <c r="P297" s="3" t="s">
        <v>3042</v>
      </c>
      <c r="Q297" s="3" t="s">
        <v>3043</v>
      </c>
      <c r="R297" s="3" t="s">
        <v>3043</v>
      </c>
      <c r="S297" s="2" t="s">
        <v>38</v>
      </c>
      <c r="T297" s="2" t="s">
        <v>39</v>
      </c>
      <c r="U297" s="2" t="s">
        <v>40</v>
      </c>
      <c r="V297" s="3"/>
    </row>
    <row r="298" spans="1:22">
      <c r="A298" s="2">
        <v>297</v>
      </c>
      <c r="B298" s="3" t="s">
        <v>2582</v>
      </c>
      <c r="C298" s="3" t="s">
        <v>3044</v>
      </c>
      <c r="D298" s="3" t="s">
        <v>3045</v>
      </c>
      <c r="E298" s="2" t="s">
        <v>69</v>
      </c>
      <c r="F298" s="2" t="s">
        <v>26</v>
      </c>
      <c r="G298" s="3" t="s">
        <v>3046</v>
      </c>
      <c r="H298" s="2" t="s">
        <v>3047</v>
      </c>
      <c r="I298" s="3" t="s">
        <v>29</v>
      </c>
      <c r="J298" s="3" t="s">
        <v>3048</v>
      </c>
      <c r="K298" s="3" t="s">
        <v>120</v>
      </c>
      <c r="L298" s="3" t="s">
        <v>167</v>
      </c>
      <c r="M298" s="3" t="s">
        <v>3049</v>
      </c>
      <c r="N298" s="3" t="s">
        <v>3050</v>
      </c>
      <c r="O298" s="3" t="s">
        <v>3051</v>
      </c>
      <c r="P298" s="3" t="s">
        <v>3052</v>
      </c>
      <c r="Q298" s="3" t="s">
        <v>3053</v>
      </c>
      <c r="R298" s="3" t="s">
        <v>3053</v>
      </c>
      <c r="S298" s="2" t="s">
        <v>3054</v>
      </c>
      <c r="T298" s="2" t="s">
        <v>39</v>
      </c>
      <c r="U298" s="2" t="s">
        <v>40</v>
      </c>
      <c r="V298" s="3"/>
    </row>
    <row r="299" spans="1:22">
      <c r="A299" s="2">
        <v>298</v>
      </c>
      <c r="B299" s="3" t="s">
        <v>2582</v>
      </c>
      <c r="C299" s="3" t="s">
        <v>3055</v>
      </c>
      <c r="D299" s="3" t="s">
        <v>3056</v>
      </c>
      <c r="E299" s="2" t="s">
        <v>257</v>
      </c>
      <c r="F299" s="2" t="s">
        <v>26</v>
      </c>
      <c r="G299" s="3" t="s">
        <v>3057</v>
      </c>
      <c r="H299" s="2" t="s">
        <v>3058</v>
      </c>
      <c r="I299" s="3" t="s">
        <v>29</v>
      </c>
      <c r="J299" s="3" t="s">
        <v>1351</v>
      </c>
      <c r="K299" s="3" t="s">
        <v>47</v>
      </c>
      <c r="L299" s="3" t="s">
        <v>167</v>
      </c>
      <c r="M299" s="3" t="s">
        <v>1352</v>
      </c>
      <c r="N299" s="3" t="s">
        <v>3059</v>
      </c>
      <c r="O299" s="3" t="s">
        <v>3060</v>
      </c>
      <c r="P299" s="3" t="s">
        <v>3061</v>
      </c>
      <c r="Q299" s="3" t="s">
        <v>3062</v>
      </c>
      <c r="R299" s="3" t="s">
        <v>3062</v>
      </c>
      <c r="S299" s="2" t="s">
        <v>3054</v>
      </c>
      <c r="T299" s="2" t="s">
        <v>39</v>
      </c>
      <c r="U299" s="2" t="s">
        <v>40</v>
      </c>
      <c r="V299" s="3"/>
    </row>
    <row r="300" spans="1:22">
      <c r="A300" s="2">
        <v>299</v>
      </c>
      <c r="B300" s="3" t="s">
        <v>2582</v>
      </c>
      <c r="C300" s="3" t="s">
        <v>3063</v>
      </c>
      <c r="D300" s="3" t="s">
        <v>3064</v>
      </c>
      <c r="E300" s="2" t="s">
        <v>69</v>
      </c>
      <c r="F300" s="2" t="s">
        <v>26</v>
      </c>
      <c r="G300" s="3" t="s">
        <v>3065</v>
      </c>
      <c r="H300" s="2" t="s">
        <v>3066</v>
      </c>
      <c r="I300" s="3" t="s">
        <v>29</v>
      </c>
      <c r="J300" s="3" t="s">
        <v>3067</v>
      </c>
      <c r="K300" s="3" t="s">
        <v>272</v>
      </c>
      <c r="L300" s="3" t="s">
        <v>167</v>
      </c>
      <c r="M300" s="3" t="s">
        <v>3068</v>
      </c>
      <c r="N300" s="3" t="s">
        <v>3069</v>
      </c>
      <c r="O300" s="3" t="s">
        <v>3070</v>
      </c>
      <c r="P300" s="3" t="s">
        <v>3071</v>
      </c>
      <c r="Q300" s="3" t="s">
        <v>3072</v>
      </c>
      <c r="R300" s="3" t="s">
        <v>3072</v>
      </c>
      <c r="S300" s="2" t="s">
        <v>3054</v>
      </c>
      <c r="T300" s="2" t="s">
        <v>39</v>
      </c>
      <c r="U300" s="2" t="s">
        <v>40</v>
      </c>
      <c r="V300" s="3"/>
    </row>
    <row r="301" spans="1:22">
      <c r="A301" s="2">
        <v>300</v>
      </c>
      <c r="B301" s="3" t="s">
        <v>2582</v>
      </c>
      <c r="C301" s="3" t="s">
        <v>3073</v>
      </c>
      <c r="D301" s="3" t="s">
        <v>3074</v>
      </c>
      <c r="E301" s="2" t="s">
        <v>103</v>
      </c>
      <c r="F301" s="2" t="s">
        <v>26</v>
      </c>
      <c r="G301" s="3" t="s">
        <v>3075</v>
      </c>
      <c r="H301" s="2" t="s">
        <v>3076</v>
      </c>
      <c r="I301" s="3" t="s">
        <v>29</v>
      </c>
      <c r="J301" s="3" t="s">
        <v>3077</v>
      </c>
      <c r="K301" s="3" t="s">
        <v>107</v>
      </c>
      <c r="L301" s="3" t="s">
        <v>293</v>
      </c>
      <c r="M301" s="3" t="s">
        <v>3078</v>
      </c>
      <c r="N301" s="3" t="s">
        <v>3079</v>
      </c>
      <c r="O301" s="3" t="s">
        <v>3080</v>
      </c>
      <c r="P301" s="3" t="s">
        <v>3081</v>
      </c>
      <c r="Q301" s="3" t="s">
        <v>3082</v>
      </c>
      <c r="R301" s="3" t="s">
        <v>3082</v>
      </c>
      <c r="S301" s="2" t="s">
        <v>3054</v>
      </c>
      <c r="T301" s="2" t="s">
        <v>39</v>
      </c>
      <c r="U301" s="2" t="s">
        <v>40</v>
      </c>
      <c r="V301" s="3"/>
    </row>
    <row r="302" spans="1:22">
      <c r="A302" s="2">
        <v>301</v>
      </c>
      <c r="B302" s="3" t="s">
        <v>3083</v>
      </c>
      <c r="C302" s="3" t="s">
        <v>3084</v>
      </c>
      <c r="D302" s="3" t="s">
        <v>3085</v>
      </c>
      <c r="E302" s="2" t="s">
        <v>81</v>
      </c>
      <c r="F302" s="2" t="s">
        <v>43</v>
      </c>
      <c r="G302" s="3" t="s">
        <v>3086</v>
      </c>
      <c r="H302" s="2" t="s">
        <v>3087</v>
      </c>
      <c r="I302" s="3" t="s">
        <v>29</v>
      </c>
      <c r="J302" s="3" t="s">
        <v>3088</v>
      </c>
      <c r="K302" s="3" t="s">
        <v>47</v>
      </c>
      <c r="L302" s="3" t="s">
        <v>293</v>
      </c>
      <c r="M302" s="3" t="s">
        <v>3089</v>
      </c>
      <c r="N302" s="3" t="s">
        <v>3090</v>
      </c>
      <c r="O302" s="3" t="s">
        <v>3091</v>
      </c>
      <c r="P302" s="3" t="s">
        <v>3092</v>
      </c>
      <c r="Q302" s="3" t="s">
        <v>3093</v>
      </c>
      <c r="R302" s="3" t="s">
        <v>3093</v>
      </c>
      <c r="S302" s="2" t="s">
        <v>3054</v>
      </c>
      <c r="T302" s="2" t="s">
        <v>39</v>
      </c>
      <c r="U302" s="2" t="s">
        <v>40</v>
      </c>
      <c r="V302" s="3"/>
    </row>
    <row r="303" spans="1:22">
      <c r="A303" s="2">
        <v>302</v>
      </c>
      <c r="B303" s="3" t="s">
        <v>3083</v>
      </c>
      <c r="C303" s="3" t="s">
        <v>3094</v>
      </c>
      <c r="D303" s="3" t="s">
        <v>3095</v>
      </c>
      <c r="E303" s="2" t="s">
        <v>3096</v>
      </c>
      <c r="F303" s="2" t="s">
        <v>26</v>
      </c>
      <c r="G303" s="3" t="s">
        <v>3097</v>
      </c>
      <c r="H303" s="2" t="s">
        <v>3098</v>
      </c>
      <c r="I303" s="3" t="s">
        <v>29</v>
      </c>
      <c r="J303" s="3" t="s">
        <v>3099</v>
      </c>
      <c r="K303" s="3" t="s">
        <v>47</v>
      </c>
      <c r="L303" s="3" t="s">
        <v>132</v>
      </c>
      <c r="M303" s="3" t="s">
        <v>230</v>
      </c>
      <c r="N303" s="3" t="s">
        <v>3100</v>
      </c>
      <c r="O303" s="3" t="s">
        <v>3101</v>
      </c>
      <c r="P303" s="3" t="s">
        <v>3102</v>
      </c>
      <c r="Q303" s="3" t="s">
        <v>3103</v>
      </c>
      <c r="R303" s="3" t="s">
        <v>3103</v>
      </c>
      <c r="S303" s="2" t="s">
        <v>3054</v>
      </c>
      <c r="T303" s="2" t="s">
        <v>39</v>
      </c>
      <c r="U303" s="2" t="s">
        <v>40</v>
      </c>
      <c r="V303" s="3"/>
    </row>
    <row r="304" spans="1:22">
      <c r="A304" s="2">
        <v>303</v>
      </c>
      <c r="B304" s="3" t="s">
        <v>3083</v>
      </c>
      <c r="C304" s="3" t="s">
        <v>3104</v>
      </c>
      <c r="D304" s="3" t="s">
        <v>3105</v>
      </c>
      <c r="E304" s="2" t="s">
        <v>25</v>
      </c>
      <c r="F304" s="2" t="s">
        <v>43</v>
      </c>
      <c r="G304" s="3" t="s">
        <v>3106</v>
      </c>
      <c r="H304" s="2" t="s">
        <v>3107</v>
      </c>
      <c r="I304" s="3" t="s">
        <v>29</v>
      </c>
      <c r="J304" s="3" t="s">
        <v>3108</v>
      </c>
      <c r="K304" s="3" t="s">
        <v>261</v>
      </c>
      <c r="L304" s="3" t="s">
        <v>32</v>
      </c>
      <c r="M304" s="3" t="s">
        <v>3109</v>
      </c>
      <c r="N304" s="3" t="s">
        <v>3110</v>
      </c>
      <c r="O304" s="3" t="s">
        <v>3111</v>
      </c>
      <c r="P304" s="3" t="s">
        <v>3112</v>
      </c>
      <c r="Q304" s="3" t="s">
        <v>3113</v>
      </c>
      <c r="R304" s="3" t="s">
        <v>3113</v>
      </c>
      <c r="S304" s="2" t="s">
        <v>3054</v>
      </c>
      <c r="T304" s="2" t="s">
        <v>39</v>
      </c>
      <c r="U304" s="2" t="s">
        <v>40</v>
      </c>
      <c r="V304" s="3"/>
    </row>
    <row r="305" spans="1:22">
      <c r="A305" s="2">
        <v>304</v>
      </c>
      <c r="B305" s="3" t="s">
        <v>3083</v>
      </c>
      <c r="C305" s="3" t="s">
        <v>3114</v>
      </c>
      <c r="D305" s="3" t="s">
        <v>3115</v>
      </c>
      <c r="E305" s="2" t="s">
        <v>257</v>
      </c>
      <c r="F305" s="2" t="s">
        <v>43</v>
      </c>
      <c r="G305" s="3" t="s">
        <v>3116</v>
      </c>
      <c r="H305" s="2" t="s">
        <v>3117</v>
      </c>
      <c r="I305" s="3" t="s">
        <v>29</v>
      </c>
      <c r="J305" s="3" t="s">
        <v>3118</v>
      </c>
      <c r="K305" s="3" t="s">
        <v>47</v>
      </c>
      <c r="L305" s="3" t="s">
        <v>448</v>
      </c>
      <c r="M305" s="3" t="s">
        <v>3119</v>
      </c>
      <c r="N305" s="3" t="s">
        <v>3120</v>
      </c>
      <c r="O305" s="3" t="s">
        <v>3121</v>
      </c>
      <c r="P305" s="3" t="s">
        <v>3122</v>
      </c>
      <c r="Q305" s="3" t="s">
        <v>3123</v>
      </c>
      <c r="R305" s="3" t="s">
        <v>3123</v>
      </c>
      <c r="S305" s="2" t="s">
        <v>3054</v>
      </c>
      <c r="T305" s="2" t="s">
        <v>39</v>
      </c>
      <c r="U305" s="2" t="s">
        <v>40</v>
      </c>
      <c r="V305" s="3"/>
    </row>
    <row r="306" spans="1:22">
      <c r="A306" s="2">
        <v>305</v>
      </c>
      <c r="B306" s="3" t="s">
        <v>3083</v>
      </c>
      <c r="C306" s="3" t="s">
        <v>3124</v>
      </c>
      <c r="D306" s="3" t="s">
        <v>3125</v>
      </c>
      <c r="E306" s="2" t="s">
        <v>25</v>
      </c>
      <c r="F306" s="2" t="s">
        <v>43</v>
      </c>
      <c r="G306" s="3" t="s">
        <v>3126</v>
      </c>
      <c r="H306" s="2" t="s">
        <v>3127</v>
      </c>
      <c r="I306" s="3" t="s">
        <v>29</v>
      </c>
      <c r="J306" s="3" t="s">
        <v>3128</v>
      </c>
      <c r="K306" s="3" t="s">
        <v>47</v>
      </c>
      <c r="L306" s="3" t="s">
        <v>293</v>
      </c>
      <c r="M306" s="3" t="s">
        <v>3129</v>
      </c>
      <c r="N306" s="3" t="s">
        <v>3130</v>
      </c>
      <c r="O306" s="3" t="s">
        <v>3131</v>
      </c>
      <c r="P306" s="3" t="s">
        <v>3132</v>
      </c>
      <c r="Q306" s="3" t="s">
        <v>3133</v>
      </c>
      <c r="R306" s="3" t="s">
        <v>3133</v>
      </c>
      <c r="S306" s="2" t="s">
        <v>3054</v>
      </c>
      <c r="T306" s="2" t="s">
        <v>39</v>
      </c>
      <c r="U306" s="2" t="s">
        <v>40</v>
      </c>
      <c r="V306" s="3"/>
    </row>
    <row r="307" spans="1:22">
      <c r="A307" s="2">
        <v>306</v>
      </c>
      <c r="B307" s="3" t="s">
        <v>3083</v>
      </c>
      <c r="C307" s="3" t="s">
        <v>3134</v>
      </c>
      <c r="D307" s="3" t="s">
        <v>3135</v>
      </c>
      <c r="E307" s="2" t="s">
        <v>404</v>
      </c>
      <c r="F307" s="2" t="s">
        <v>26</v>
      </c>
      <c r="G307" s="3" t="s">
        <v>3136</v>
      </c>
      <c r="H307" s="2" t="s">
        <v>3137</v>
      </c>
      <c r="I307" s="3" t="s">
        <v>29</v>
      </c>
      <c r="J307" s="3" t="s">
        <v>3138</v>
      </c>
      <c r="K307" s="3" t="s">
        <v>988</v>
      </c>
      <c r="L307" s="3" t="s">
        <v>323</v>
      </c>
      <c r="M307" s="3" t="s">
        <v>3139</v>
      </c>
      <c r="N307" s="3" t="s">
        <v>3140</v>
      </c>
      <c r="O307" s="3" t="s">
        <v>3141</v>
      </c>
      <c r="P307" s="3" t="s">
        <v>3142</v>
      </c>
      <c r="Q307" s="3" t="s">
        <v>3143</v>
      </c>
      <c r="R307" s="3" t="s">
        <v>3143</v>
      </c>
      <c r="S307" s="2" t="s">
        <v>3054</v>
      </c>
      <c r="T307" s="2" t="s">
        <v>39</v>
      </c>
      <c r="U307" s="2" t="s">
        <v>40</v>
      </c>
      <c r="V307" s="3"/>
    </row>
    <row r="308" spans="1:22">
      <c r="A308" s="2">
        <v>307</v>
      </c>
      <c r="B308" s="3" t="s">
        <v>3083</v>
      </c>
      <c r="C308" s="3" t="s">
        <v>3144</v>
      </c>
      <c r="D308" s="3" t="s">
        <v>3145</v>
      </c>
      <c r="E308" s="2" t="s">
        <v>206</v>
      </c>
      <c r="F308" s="2" t="s">
        <v>26</v>
      </c>
      <c r="G308" s="3" t="s">
        <v>3146</v>
      </c>
      <c r="H308" s="2" t="s">
        <v>3147</v>
      </c>
      <c r="I308" s="3" t="s">
        <v>29</v>
      </c>
      <c r="J308" s="3" t="s">
        <v>3148</v>
      </c>
      <c r="K308" s="3" t="s">
        <v>95</v>
      </c>
      <c r="L308" s="3" t="s">
        <v>323</v>
      </c>
      <c r="M308" s="3" t="s">
        <v>3149</v>
      </c>
      <c r="N308" s="3" t="s">
        <v>3150</v>
      </c>
      <c r="O308" s="3" t="s">
        <v>3151</v>
      </c>
      <c r="P308" s="3" t="s">
        <v>3152</v>
      </c>
      <c r="Q308" s="3" t="s">
        <v>3153</v>
      </c>
      <c r="R308" s="3" t="s">
        <v>3153</v>
      </c>
      <c r="S308" s="2" t="s">
        <v>3054</v>
      </c>
      <c r="T308" s="2" t="s">
        <v>39</v>
      </c>
      <c r="U308" s="2" t="s">
        <v>40</v>
      </c>
      <c r="V308" s="3"/>
    </row>
    <row r="309" spans="1:22">
      <c r="A309" s="2">
        <v>308</v>
      </c>
      <c r="B309" s="3" t="s">
        <v>3083</v>
      </c>
      <c r="C309" s="3" t="s">
        <v>3154</v>
      </c>
      <c r="D309" s="3" t="s">
        <v>3155</v>
      </c>
      <c r="E309" s="2" t="s">
        <v>1017</v>
      </c>
      <c r="F309" s="2" t="s">
        <v>43</v>
      </c>
      <c r="G309" s="3" t="s">
        <v>3156</v>
      </c>
      <c r="H309" s="2" t="s">
        <v>3157</v>
      </c>
      <c r="I309" s="3" t="s">
        <v>29</v>
      </c>
      <c r="J309" s="3" t="s">
        <v>3158</v>
      </c>
      <c r="K309" s="3" t="s">
        <v>47</v>
      </c>
      <c r="L309" s="3" t="s">
        <v>132</v>
      </c>
      <c r="M309" s="3" t="s">
        <v>3159</v>
      </c>
      <c r="N309" s="3" t="s">
        <v>3160</v>
      </c>
      <c r="O309" s="3" t="s">
        <v>3161</v>
      </c>
      <c r="P309" s="3" t="s">
        <v>3162</v>
      </c>
      <c r="Q309" s="3" t="s">
        <v>3163</v>
      </c>
      <c r="R309" s="3" t="s">
        <v>3163</v>
      </c>
      <c r="S309" s="2" t="s">
        <v>3054</v>
      </c>
      <c r="T309" s="2" t="s">
        <v>39</v>
      </c>
      <c r="U309" s="2" t="s">
        <v>40</v>
      </c>
      <c r="V309" s="3"/>
    </row>
    <row r="310" spans="1:22">
      <c r="A310" s="2">
        <v>309</v>
      </c>
      <c r="B310" s="3" t="s">
        <v>3083</v>
      </c>
      <c r="C310" s="3" t="s">
        <v>3164</v>
      </c>
      <c r="D310" s="3" t="s">
        <v>3165</v>
      </c>
      <c r="E310" s="2" t="s">
        <v>621</v>
      </c>
      <c r="F310" s="2" t="s">
        <v>43</v>
      </c>
      <c r="G310" s="3" t="s">
        <v>3166</v>
      </c>
      <c r="H310" s="2" t="s">
        <v>3167</v>
      </c>
      <c r="I310" s="3" t="s">
        <v>29</v>
      </c>
      <c r="J310" s="3" t="s">
        <v>3168</v>
      </c>
      <c r="K310" s="3" t="s">
        <v>47</v>
      </c>
      <c r="L310" s="3" t="s">
        <v>132</v>
      </c>
      <c r="M310" s="3" t="s">
        <v>3169</v>
      </c>
      <c r="N310" s="3" t="s">
        <v>3170</v>
      </c>
      <c r="O310" s="3" t="s">
        <v>3171</v>
      </c>
      <c r="P310" s="3" t="s">
        <v>3172</v>
      </c>
      <c r="Q310" s="3" t="s">
        <v>3173</v>
      </c>
      <c r="R310" s="3" t="s">
        <v>3173</v>
      </c>
      <c r="S310" s="2" t="s">
        <v>3054</v>
      </c>
      <c r="T310" s="2" t="s">
        <v>39</v>
      </c>
      <c r="U310" s="2" t="s">
        <v>40</v>
      </c>
      <c r="V310" s="3"/>
    </row>
    <row r="311" spans="1:22">
      <c r="A311" s="2">
        <v>310</v>
      </c>
      <c r="B311" s="3" t="s">
        <v>3083</v>
      </c>
      <c r="C311" s="3" t="s">
        <v>3174</v>
      </c>
      <c r="D311" s="3" t="s">
        <v>3175</v>
      </c>
      <c r="E311" s="2" t="s">
        <v>506</v>
      </c>
      <c r="F311" s="2" t="s">
        <v>43</v>
      </c>
      <c r="G311" s="3" t="s">
        <v>3176</v>
      </c>
      <c r="H311" s="2" t="s">
        <v>3177</v>
      </c>
      <c r="I311" s="3" t="s">
        <v>29</v>
      </c>
      <c r="J311" s="3" t="s">
        <v>3178</v>
      </c>
      <c r="K311" s="3" t="s">
        <v>47</v>
      </c>
      <c r="L311" s="3" t="s">
        <v>132</v>
      </c>
      <c r="M311" s="3" t="s">
        <v>3179</v>
      </c>
      <c r="N311" s="3" t="s">
        <v>3180</v>
      </c>
      <c r="O311" s="3" t="s">
        <v>3181</v>
      </c>
      <c r="P311" s="3" t="s">
        <v>3182</v>
      </c>
      <c r="Q311" s="3" t="s">
        <v>3183</v>
      </c>
      <c r="R311" s="3" t="s">
        <v>3183</v>
      </c>
      <c r="S311" s="2" t="s">
        <v>3054</v>
      </c>
      <c r="T311" s="2" t="s">
        <v>39</v>
      </c>
      <c r="U311" s="2" t="s">
        <v>40</v>
      </c>
      <c r="V311" s="3"/>
    </row>
    <row r="312" spans="1:22">
      <c r="A312" s="2">
        <v>311</v>
      </c>
      <c r="B312" s="3" t="s">
        <v>3083</v>
      </c>
      <c r="C312" s="3" t="s">
        <v>3184</v>
      </c>
      <c r="D312" s="3" t="s">
        <v>3185</v>
      </c>
      <c r="E312" s="2" t="s">
        <v>257</v>
      </c>
      <c r="F312" s="2" t="s">
        <v>26</v>
      </c>
      <c r="G312" s="3" t="s">
        <v>3186</v>
      </c>
      <c r="H312" s="2" t="s">
        <v>3187</v>
      </c>
      <c r="I312" s="3" t="s">
        <v>29</v>
      </c>
      <c r="J312" s="3" t="s">
        <v>3188</v>
      </c>
      <c r="K312" s="3" t="s">
        <v>47</v>
      </c>
      <c r="L312" s="3" t="s">
        <v>132</v>
      </c>
      <c r="M312" s="3" t="s">
        <v>3189</v>
      </c>
      <c r="N312" s="3" t="s">
        <v>3190</v>
      </c>
      <c r="O312" s="3" t="s">
        <v>3191</v>
      </c>
      <c r="P312" s="3" t="s">
        <v>3192</v>
      </c>
      <c r="Q312" s="3" t="s">
        <v>3193</v>
      </c>
      <c r="R312" s="3" t="s">
        <v>3193</v>
      </c>
      <c r="S312" s="2" t="s">
        <v>3054</v>
      </c>
      <c r="T312" s="2" t="s">
        <v>39</v>
      </c>
      <c r="U312" s="2" t="s">
        <v>40</v>
      </c>
      <c r="V312" s="3"/>
    </row>
    <row r="313" spans="1:22">
      <c r="A313" s="2">
        <v>312</v>
      </c>
      <c r="B313" s="3" t="s">
        <v>3083</v>
      </c>
      <c r="C313" s="3" t="s">
        <v>3194</v>
      </c>
      <c r="D313" s="3" t="s">
        <v>3195</v>
      </c>
      <c r="E313" s="2" t="s">
        <v>103</v>
      </c>
      <c r="F313" s="2" t="s">
        <v>26</v>
      </c>
      <c r="G313" s="3" t="s">
        <v>3196</v>
      </c>
      <c r="H313" s="2" t="s">
        <v>3197</v>
      </c>
      <c r="I313" s="3" t="s">
        <v>29</v>
      </c>
      <c r="J313" s="3" t="s">
        <v>3198</v>
      </c>
      <c r="K313" s="3" t="s">
        <v>107</v>
      </c>
      <c r="L313" s="3" t="s">
        <v>32</v>
      </c>
      <c r="M313" s="3" t="s">
        <v>3199</v>
      </c>
      <c r="N313" s="3" t="s">
        <v>3200</v>
      </c>
      <c r="O313" s="3" t="s">
        <v>3201</v>
      </c>
      <c r="P313" s="3" t="s">
        <v>3202</v>
      </c>
      <c r="Q313" s="3" t="s">
        <v>3203</v>
      </c>
      <c r="R313" s="3" t="s">
        <v>3203</v>
      </c>
      <c r="S313" s="2" t="s">
        <v>3054</v>
      </c>
      <c r="T313" s="2" t="s">
        <v>39</v>
      </c>
      <c r="U313" s="2" t="s">
        <v>40</v>
      </c>
      <c r="V313" s="3"/>
    </row>
    <row r="314" spans="1:22">
      <c r="A314" s="2">
        <v>313</v>
      </c>
      <c r="B314" s="3" t="s">
        <v>3083</v>
      </c>
      <c r="C314" s="3" t="s">
        <v>3204</v>
      </c>
      <c r="D314" s="3" t="s">
        <v>3205</v>
      </c>
      <c r="E314" s="2" t="s">
        <v>257</v>
      </c>
      <c r="F314" s="2" t="s">
        <v>26</v>
      </c>
      <c r="G314" s="3" t="s">
        <v>3206</v>
      </c>
      <c r="H314" s="2" t="s">
        <v>3207</v>
      </c>
      <c r="I314" s="3" t="s">
        <v>29</v>
      </c>
      <c r="J314" s="3" t="s">
        <v>3208</v>
      </c>
      <c r="K314" s="3" t="s">
        <v>47</v>
      </c>
      <c r="L314" s="3" t="s">
        <v>73</v>
      </c>
      <c r="M314" s="3" t="s">
        <v>3209</v>
      </c>
      <c r="N314" s="3" t="s">
        <v>3210</v>
      </c>
      <c r="O314" s="3" t="s">
        <v>3211</v>
      </c>
      <c r="P314" s="3" t="s">
        <v>3212</v>
      </c>
      <c r="Q314" s="3" t="s">
        <v>3213</v>
      </c>
      <c r="R314" s="3" t="s">
        <v>3213</v>
      </c>
      <c r="S314" s="2" t="s">
        <v>3054</v>
      </c>
      <c r="T314" s="2" t="s">
        <v>39</v>
      </c>
      <c r="U314" s="2" t="s">
        <v>40</v>
      </c>
      <c r="V314" s="3"/>
    </row>
    <row r="315" spans="1:22">
      <c r="A315" s="2">
        <v>314</v>
      </c>
      <c r="B315" s="3" t="s">
        <v>3083</v>
      </c>
      <c r="C315" s="3" t="s">
        <v>3214</v>
      </c>
      <c r="D315" s="3" t="s">
        <v>3215</v>
      </c>
      <c r="E315" s="2" t="s">
        <v>257</v>
      </c>
      <c r="F315" s="2" t="s">
        <v>43</v>
      </c>
      <c r="G315" s="3" t="s">
        <v>3216</v>
      </c>
      <c r="H315" s="2" t="s">
        <v>3217</v>
      </c>
      <c r="I315" s="3" t="s">
        <v>29</v>
      </c>
      <c r="J315" s="3" t="s">
        <v>3218</v>
      </c>
      <c r="K315" s="3" t="s">
        <v>1694</v>
      </c>
      <c r="L315" s="3" t="s">
        <v>1695</v>
      </c>
      <c r="M315" s="3" t="s">
        <v>3219</v>
      </c>
      <c r="N315" s="3" t="s">
        <v>3220</v>
      </c>
      <c r="O315" s="3" t="s">
        <v>3221</v>
      </c>
      <c r="P315" s="3" t="s">
        <v>3222</v>
      </c>
      <c r="Q315" s="3" t="s">
        <v>3223</v>
      </c>
      <c r="R315" s="3" t="s">
        <v>3223</v>
      </c>
      <c r="S315" s="2" t="s">
        <v>3054</v>
      </c>
      <c r="T315" s="2" t="s">
        <v>39</v>
      </c>
      <c r="U315" s="2" t="s">
        <v>40</v>
      </c>
      <c r="V315" s="3"/>
    </row>
    <row r="316" spans="1:22">
      <c r="A316" s="2">
        <v>315</v>
      </c>
      <c r="B316" s="3" t="s">
        <v>3083</v>
      </c>
      <c r="C316" s="3" t="s">
        <v>3224</v>
      </c>
      <c r="D316" s="3" t="s">
        <v>3225</v>
      </c>
      <c r="E316" s="2" t="s">
        <v>116</v>
      </c>
      <c r="F316" s="2" t="s">
        <v>26</v>
      </c>
      <c r="G316" s="3" t="s">
        <v>3226</v>
      </c>
      <c r="H316" s="2" t="s">
        <v>3227</v>
      </c>
      <c r="I316" s="3" t="s">
        <v>29</v>
      </c>
      <c r="J316" s="3" t="s">
        <v>3228</v>
      </c>
      <c r="K316" s="3" t="s">
        <v>47</v>
      </c>
      <c r="L316" s="3" t="s">
        <v>293</v>
      </c>
      <c r="M316" s="3" t="s">
        <v>3229</v>
      </c>
      <c r="N316" s="3" t="s">
        <v>3230</v>
      </c>
      <c r="O316" s="3" t="s">
        <v>3231</v>
      </c>
      <c r="P316" s="3" t="s">
        <v>3232</v>
      </c>
      <c r="Q316" s="3" t="s">
        <v>3233</v>
      </c>
      <c r="R316" s="3" t="s">
        <v>3233</v>
      </c>
      <c r="S316" s="2" t="s">
        <v>3054</v>
      </c>
      <c r="T316" s="2" t="s">
        <v>39</v>
      </c>
      <c r="U316" s="2" t="s">
        <v>40</v>
      </c>
      <c r="V316" s="3"/>
    </row>
    <row r="317" spans="1:22">
      <c r="A317" s="2">
        <v>316</v>
      </c>
      <c r="B317" s="3" t="s">
        <v>3083</v>
      </c>
      <c r="C317" s="3" t="s">
        <v>3234</v>
      </c>
      <c r="D317" s="3" t="s">
        <v>3235</v>
      </c>
      <c r="E317" s="2" t="s">
        <v>257</v>
      </c>
      <c r="F317" s="2" t="s">
        <v>26</v>
      </c>
      <c r="G317" s="3" t="s">
        <v>3236</v>
      </c>
      <c r="H317" s="2" t="s">
        <v>3237</v>
      </c>
      <c r="I317" s="3" t="s">
        <v>29</v>
      </c>
      <c r="J317" s="3" t="s">
        <v>3238</v>
      </c>
      <c r="K317" s="3" t="s">
        <v>47</v>
      </c>
      <c r="L317" s="3" t="s">
        <v>132</v>
      </c>
      <c r="M317" s="3" t="s">
        <v>3239</v>
      </c>
      <c r="N317" s="3" t="s">
        <v>3240</v>
      </c>
      <c r="O317" s="3" t="s">
        <v>3241</v>
      </c>
      <c r="P317" s="3" t="s">
        <v>3242</v>
      </c>
      <c r="Q317" s="3" t="s">
        <v>3243</v>
      </c>
      <c r="R317" s="3" t="s">
        <v>3243</v>
      </c>
      <c r="S317" s="2" t="s">
        <v>3054</v>
      </c>
      <c r="T317" s="2" t="s">
        <v>39</v>
      </c>
      <c r="U317" s="2" t="s">
        <v>40</v>
      </c>
      <c r="V317" s="3"/>
    </row>
    <row r="318" spans="1:22">
      <c r="A318" s="2">
        <v>317</v>
      </c>
      <c r="B318" s="3" t="s">
        <v>3083</v>
      </c>
      <c r="C318" s="3" t="s">
        <v>3244</v>
      </c>
      <c r="D318" s="3" t="s">
        <v>3245</v>
      </c>
      <c r="E318" s="2" t="s">
        <v>206</v>
      </c>
      <c r="F318" s="2" t="s">
        <v>43</v>
      </c>
      <c r="G318" s="3" t="s">
        <v>3246</v>
      </c>
      <c r="H318" s="2" t="s">
        <v>3247</v>
      </c>
      <c r="I318" s="3" t="s">
        <v>29</v>
      </c>
      <c r="J318" s="3" t="s">
        <v>3248</v>
      </c>
      <c r="K318" s="3" t="s">
        <v>47</v>
      </c>
      <c r="L318" s="3" t="s">
        <v>293</v>
      </c>
      <c r="M318" s="3" t="s">
        <v>3249</v>
      </c>
      <c r="N318" s="3" t="s">
        <v>3250</v>
      </c>
      <c r="O318" s="3" t="s">
        <v>3251</v>
      </c>
      <c r="P318" s="3" t="s">
        <v>3252</v>
      </c>
      <c r="Q318" s="3" t="s">
        <v>3253</v>
      </c>
      <c r="R318" s="3" t="s">
        <v>3253</v>
      </c>
      <c r="S318" s="2" t="s">
        <v>3054</v>
      </c>
      <c r="T318" s="2" t="s">
        <v>39</v>
      </c>
      <c r="U318" s="2" t="s">
        <v>40</v>
      </c>
      <c r="V318" s="3"/>
    </row>
    <row r="319" spans="1:22">
      <c r="A319" s="2">
        <v>318</v>
      </c>
      <c r="B319" s="3" t="s">
        <v>3083</v>
      </c>
      <c r="C319" s="3" t="s">
        <v>3254</v>
      </c>
      <c r="D319" s="3" t="s">
        <v>3255</v>
      </c>
      <c r="E319" s="2" t="s">
        <v>257</v>
      </c>
      <c r="F319" s="2" t="s">
        <v>26</v>
      </c>
      <c r="G319" s="3" t="s">
        <v>3256</v>
      </c>
      <c r="H319" s="2" t="s">
        <v>3257</v>
      </c>
      <c r="I319" s="3" t="s">
        <v>29</v>
      </c>
      <c r="J319" s="3" t="s">
        <v>3258</v>
      </c>
      <c r="K319" s="3" t="s">
        <v>47</v>
      </c>
      <c r="L319" s="3" t="s">
        <v>293</v>
      </c>
      <c r="M319" s="3" t="s">
        <v>3259</v>
      </c>
      <c r="N319" s="3" t="s">
        <v>3260</v>
      </c>
      <c r="O319" s="3" t="s">
        <v>3261</v>
      </c>
      <c r="P319" s="3" t="s">
        <v>3262</v>
      </c>
      <c r="Q319" s="3" t="s">
        <v>3263</v>
      </c>
      <c r="R319" s="3" t="s">
        <v>3263</v>
      </c>
      <c r="S319" s="2" t="s">
        <v>3054</v>
      </c>
      <c r="T319" s="2" t="s">
        <v>39</v>
      </c>
      <c r="U319" s="2" t="s">
        <v>40</v>
      </c>
      <c r="V319" s="3"/>
    </row>
    <row r="320" spans="1:22">
      <c r="A320" s="2">
        <v>319</v>
      </c>
      <c r="B320" s="3" t="s">
        <v>3083</v>
      </c>
      <c r="C320" s="3" t="s">
        <v>3264</v>
      </c>
      <c r="D320" s="3" t="s">
        <v>3265</v>
      </c>
      <c r="E320" s="2" t="s">
        <v>103</v>
      </c>
      <c r="F320" s="2" t="s">
        <v>26</v>
      </c>
      <c r="G320" s="3" t="s">
        <v>3266</v>
      </c>
      <c r="H320" s="2" t="s">
        <v>3267</v>
      </c>
      <c r="I320" s="3" t="s">
        <v>29</v>
      </c>
      <c r="J320" s="3" t="s">
        <v>3268</v>
      </c>
      <c r="K320" s="3" t="s">
        <v>47</v>
      </c>
      <c r="L320" s="3" t="s">
        <v>61</v>
      </c>
      <c r="M320" s="3" t="s">
        <v>3269</v>
      </c>
      <c r="N320" s="3" t="s">
        <v>3270</v>
      </c>
      <c r="O320" s="3" t="s">
        <v>3271</v>
      </c>
      <c r="P320" s="3" t="s">
        <v>3272</v>
      </c>
      <c r="Q320" s="3" t="s">
        <v>3273</v>
      </c>
      <c r="R320" s="3" t="s">
        <v>3273</v>
      </c>
      <c r="S320" s="2" t="s">
        <v>3054</v>
      </c>
      <c r="T320" s="2" t="s">
        <v>39</v>
      </c>
      <c r="U320" s="2" t="s">
        <v>40</v>
      </c>
      <c r="V320" s="3"/>
    </row>
    <row r="321" spans="1:22">
      <c r="A321" s="2">
        <v>320</v>
      </c>
      <c r="B321" s="3" t="s">
        <v>3083</v>
      </c>
      <c r="C321" s="3" t="s">
        <v>3274</v>
      </c>
      <c r="D321" s="3" t="s">
        <v>3275</v>
      </c>
      <c r="E321" s="2" t="s">
        <v>404</v>
      </c>
      <c r="F321" s="2" t="s">
        <v>26</v>
      </c>
      <c r="G321" s="3" t="s">
        <v>3276</v>
      </c>
      <c r="H321" s="2" t="s">
        <v>3277</v>
      </c>
      <c r="I321" s="3" t="s">
        <v>29</v>
      </c>
      <c r="J321" s="3" t="s">
        <v>3278</v>
      </c>
      <c r="K321" s="3" t="s">
        <v>47</v>
      </c>
      <c r="L321" s="3" t="s">
        <v>323</v>
      </c>
      <c r="M321" s="3" t="s">
        <v>3279</v>
      </c>
      <c r="N321" s="3" t="s">
        <v>3280</v>
      </c>
      <c r="O321" s="3" t="s">
        <v>3281</v>
      </c>
      <c r="P321" s="3" t="s">
        <v>3282</v>
      </c>
      <c r="Q321" s="3" t="s">
        <v>3283</v>
      </c>
      <c r="R321" s="3" t="s">
        <v>3283</v>
      </c>
      <c r="S321" s="2" t="s">
        <v>3054</v>
      </c>
      <c r="T321" s="2" t="s">
        <v>39</v>
      </c>
      <c r="U321" s="2" t="s">
        <v>40</v>
      </c>
      <c r="V321" s="3"/>
    </row>
    <row r="322" spans="1:22">
      <c r="A322" s="2">
        <v>321</v>
      </c>
      <c r="B322" s="3" t="s">
        <v>3083</v>
      </c>
      <c r="C322" s="3" t="s">
        <v>3284</v>
      </c>
      <c r="D322" s="3" t="s">
        <v>3285</v>
      </c>
      <c r="E322" s="2" t="s">
        <v>69</v>
      </c>
      <c r="F322" s="2" t="s">
        <v>26</v>
      </c>
      <c r="G322" s="3" t="s">
        <v>3286</v>
      </c>
      <c r="H322" s="2" t="s">
        <v>3287</v>
      </c>
      <c r="I322" s="3" t="s">
        <v>29</v>
      </c>
      <c r="J322" s="3" t="s">
        <v>2657</v>
      </c>
      <c r="K322" s="3" t="s">
        <v>47</v>
      </c>
      <c r="L322" s="3" t="s">
        <v>145</v>
      </c>
      <c r="M322" s="3" t="s">
        <v>3288</v>
      </c>
      <c r="N322" s="3" t="s">
        <v>3289</v>
      </c>
      <c r="O322" s="3" t="s">
        <v>3290</v>
      </c>
      <c r="P322" s="3" t="s">
        <v>3291</v>
      </c>
      <c r="Q322" s="3" t="s">
        <v>3292</v>
      </c>
      <c r="R322" s="3" t="s">
        <v>3292</v>
      </c>
      <c r="S322" s="2" t="s">
        <v>3054</v>
      </c>
      <c r="T322" s="2" t="s">
        <v>39</v>
      </c>
      <c r="U322" s="2" t="s">
        <v>40</v>
      </c>
      <c r="V322" s="3"/>
    </row>
    <row r="323" spans="1:22">
      <c r="A323" s="2">
        <v>322</v>
      </c>
      <c r="B323" s="3" t="s">
        <v>3083</v>
      </c>
      <c r="C323" s="3" t="s">
        <v>3293</v>
      </c>
      <c r="D323" s="3" t="s">
        <v>3294</v>
      </c>
      <c r="E323" s="2" t="s">
        <v>185</v>
      </c>
      <c r="F323" s="2" t="s">
        <v>43</v>
      </c>
      <c r="G323" s="3" t="s">
        <v>3295</v>
      </c>
      <c r="H323" s="2" t="s">
        <v>3296</v>
      </c>
      <c r="I323" s="3" t="s">
        <v>29</v>
      </c>
      <c r="J323" s="3" t="s">
        <v>3297</v>
      </c>
      <c r="K323" s="3" t="s">
        <v>107</v>
      </c>
      <c r="L323" s="3" t="s">
        <v>32</v>
      </c>
      <c r="M323" s="3" t="s">
        <v>3298</v>
      </c>
      <c r="N323" s="3" t="s">
        <v>3299</v>
      </c>
      <c r="O323" s="3" t="s">
        <v>3300</v>
      </c>
      <c r="P323" s="3" t="s">
        <v>3301</v>
      </c>
      <c r="Q323" s="3" t="s">
        <v>3302</v>
      </c>
      <c r="R323" s="3" t="s">
        <v>3302</v>
      </c>
      <c r="S323" s="2" t="s">
        <v>3054</v>
      </c>
      <c r="T323" s="2" t="s">
        <v>39</v>
      </c>
      <c r="U323" s="2" t="s">
        <v>40</v>
      </c>
      <c r="V323" s="3"/>
    </row>
    <row r="324" spans="1:22">
      <c r="A324" s="2">
        <v>323</v>
      </c>
      <c r="B324" s="3" t="s">
        <v>3083</v>
      </c>
      <c r="C324" s="3" t="s">
        <v>3303</v>
      </c>
      <c r="D324" s="3" t="s">
        <v>3304</v>
      </c>
      <c r="E324" s="2" t="s">
        <v>116</v>
      </c>
      <c r="F324" s="2" t="s">
        <v>43</v>
      </c>
      <c r="G324" s="3" t="s">
        <v>3305</v>
      </c>
      <c r="H324" s="2" t="s">
        <v>3306</v>
      </c>
      <c r="I324" s="3" t="s">
        <v>29</v>
      </c>
      <c r="J324" s="3" t="s">
        <v>3307</v>
      </c>
      <c r="K324" s="3" t="s">
        <v>47</v>
      </c>
      <c r="L324" s="3" t="s">
        <v>293</v>
      </c>
      <c r="M324" s="3" t="s">
        <v>3308</v>
      </c>
      <c r="N324" s="3" t="s">
        <v>3309</v>
      </c>
      <c r="O324" s="3" t="s">
        <v>3310</v>
      </c>
      <c r="P324" s="3" t="s">
        <v>3311</v>
      </c>
      <c r="Q324" s="3" t="s">
        <v>3312</v>
      </c>
      <c r="R324" s="3" t="s">
        <v>3312</v>
      </c>
      <c r="S324" s="2" t="s">
        <v>3054</v>
      </c>
      <c r="T324" s="2" t="s">
        <v>39</v>
      </c>
      <c r="U324" s="2" t="s">
        <v>40</v>
      </c>
      <c r="V324" s="3"/>
    </row>
    <row r="325" spans="1:22">
      <c r="A325" s="2">
        <v>324</v>
      </c>
      <c r="B325" s="3" t="s">
        <v>3083</v>
      </c>
      <c r="C325" s="3" t="s">
        <v>3313</v>
      </c>
      <c r="D325" s="3" t="s">
        <v>3314</v>
      </c>
      <c r="E325" s="2" t="s">
        <v>913</v>
      </c>
      <c r="F325" s="2" t="s">
        <v>43</v>
      </c>
      <c r="G325" s="3" t="s">
        <v>3315</v>
      </c>
      <c r="H325" s="2" t="s">
        <v>3316</v>
      </c>
      <c r="I325" s="3" t="s">
        <v>29</v>
      </c>
      <c r="J325" s="3" t="s">
        <v>3317</v>
      </c>
      <c r="K325" s="3" t="s">
        <v>47</v>
      </c>
      <c r="L325" s="3" t="s">
        <v>167</v>
      </c>
      <c r="M325" s="3" t="s">
        <v>3318</v>
      </c>
      <c r="N325" s="3" t="s">
        <v>3319</v>
      </c>
      <c r="O325" s="3" t="s">
        <v>3320</v>
      </c>
      <c r="P325" s="3" t="s">
        <v>3321</v>
      </c>
      <c r="Q325" s="3" t="s">
        <v>3322</v>
      </c>
      <c r="R325" s="3" t="s">
        <v>3322</v>
      </c>
      <c r="S325" s="2" t="s">
        <v>3054</v>
      </c>
      <c r="T325" s="2" t="s">
        <v>39</v>
      </c>
      <c r="U325" s="2" t="s">
        <v>40</v>
      </c>
      <c r="V325" s="3"/>
    </row>
    <row r="326" spans="1:22">
      <c r="A326" s="2">
        <v>325</v>
      </c>
      <c r="B326" s="3" t="s">
        <v>3083</v>
      </c>
      <c r="C326" s="3" t="s">
        <v>3323</v>
      </c>
      <c r="D326" s="3" t="s">
        <v>3324</v>
      </c>
      <c r="E326" s="2" t="s">
        <v>56</v>
      </c>
      <c r="F326" s="2" t="s">
        <v>26</v>
      </c>
      <c r="G326" s="3" t="s">
        <v>3325</v>
      </c>
      <c r="H326" s="2" t="s">
        <v>3326</v>
      </c>
      <c r="I326" s="3" t="s">
        <v>29</v>
      </c>
      <c r="J326" s="3" t="s">
        <v>3327</v>
      </c>
      <c r="K326" s="3" t="s">
        <v>47</v>
      </c>
      <c r="L326" s="3" t="s">
        <v>132</v>
      </c>
      <c r="M326" s="3" t="s">
        <v>3328</v>
      </c>
      <c r="N326" s="3" t="s">
        <v>3329</v>
      </c>
      <c r="O326" s="3" t="s">
        <v>3330</v>
      </c>
      <c r="P326" s="3" t="s">
        <v>3331</v>
      </c>
      <c r="Q326" s="3" t="s">
        <v>3332</v>
      </c>
      <c r="R326" s="3" t="s">
        <v>3332</v>
      </c>
      <c r="S326" s="2" t="s">
        <v>3054</v>
      </c>
      <c r="T326" s="2" t="s">
        <v>39</v>
      </c>
      <c r="U326" s="2" t="s">
        <v>40</v>
      </c>
      <c r="V326" s="3"/>
    </row>
    <row r="327" spans="1:22">
      <c r="A327" s="2">
        <v>326</v>
      </c>
      <c r="B327" s="3" t="s">
        <v>3083</v>
      </c>
      <c r="C327" s="3" t="s">
        <v>3333</v>
      </c>
      <c r="D327" s="3" t="s">
        <v>3334</v>
      </c>
      <c r="E327" s="2" t="s">
        <v>642</v>
      </c>
      <c r="F327" s="2" t="s">
        <v>43</v>
      </c>
      <c r="G327" s="3" t="s">
        <v>3335</v>
      </c>
      <c r="H327" s="2" t="s">
        <v>3336</v>
      </c>
      <c r="I327" s="3" t="s">
        <v>29</v>
      </c>
      <c r="J327" s="3" t="s">
        <v>3337</v>
      </c>
      <c r="K327" s="3" t="s">
        <v>272</v>
      </c>
      <c r="L327" s="3" t="s">
        <v>167</v>
      </c>
      <c r="M327" s="3" t="s">
        <v>3338</v>
      </c>
      <c r="N327" s="3" t="s">
        <v>3339</v>
      </c>
      <c r="O327" s="3" t="s">
        <v>3340</v>
      </c>
      <c r="P327" s="3" t="s">
        <v>3341</v>
      </c>
      <c r="Q327" s="3" t="s">
        <v>3342</v>
      </c>
      <c r="R327" s="3" t="s">
        <v>3342</v>
      </c>
      <c r="S327" s="2" t="s">
        <v>3054</v>
      </c>
      <c r="T327" s="2" t="s">
        <v>39</v>
      </c>
      <c r="U327" s="2" t="s">
        <v>40</v>
      </c>
      <c r="V327" s="3"/>
    </row>
    <row r="328" spans="1:22">
      <c r="A328" s="2">
        <v>327</v>
      </c>
      <c r="B328" s="3" t="s">
        <v>3083</v>
      </c>
      <c r="C328" s="3" t="s">
        <v>3343</v>
      </c>
      <c r="D328" s="3" t="s">
        <v>3344</v>
      </c>
      <c r="E328" s="2" t="s">
        <v>116</v>
      </c>
      <c r="F328" s="2" t="s">
        <v>26</v>
      </c>
      <c r="G328" s="3" t="s">
        <v>3345</v>
      </c>
      <c r="H328" s="2" t="s">
        <v>3346</v>
      </c>
      <c r="I328" s="3" t="s">
        <v>29</v>
      </c>
      <c r="J328" s="3" t="s">
        <v>3347</v>
      </c>
      <c r="K328" s="3" t="s">
        <v>272</v>
      </c>
      <c r="L328" s="3" t="s">
        <v>323</v>
      </c>
      <c r="M328" s="3" t="s">
        <v>3348</v>
      </c>
      <c r="N328" s="3" t="s">
        <v>3349</v>
      </c>
      <c r="O328" s="3" t="s">
        <v>3350</v>
      </c>
      <c r="P328" s="3" t="s">
        <v>3351</v>
      </c>
      <c r="Q328" s="3" t="s">
        <v>3352</v>
      </c>
      <c r="R328" s="3" t="s">
        <v>3352</v>
      </c>
      <c r="S328" s="2" t="s">
        <v>3054</v>
      </c>
      <c r="T328" s="2" t="s">
        <v>39</v>
      </c>
      <c r="U328" s="2" t="s">
        <v>40</v>
      </c>
      <c r="V328" s="3"/>
    </row>
    <row r="329" spans="1:22">
      <c r="A329" s="2">
        <v>328</v>
      </c>
      <c r="B329" s="3" t="s">
        <v>3083</v>
      </c>
      <c r="C329" s="3" t="s">
        <v>3353</v>
      </c>
      <c r="D329" s="3" t="s">
        <v>3354</v>
      </c>
      <c r="E329" s="2" t="s">
        <v>81</v>
      </c>
      <c r="F329" s="2" t="s">
        <v>43</v>
      </c>
      <c r="G329" s="3" t="s">
        <v>3355</v>
      </c>
      <c r="H329" s="2" t="s">
        <v>3356</v>
      </c>
      <c r="I329" s="3" t="s">
        <v>29</v>
      </c>
      <c r="J329" s="3" t="s">
        <v>3357</v>
      </c>
      <c r="K329" s="3" t="s">
        <v>120</v>
      </c>
      <c r="L329" s="3" t="s">
        <v>156</v>
      </c>
      <c r="M329" s="3" t="s">
        <v>3358</v>
      </c>
      <c r="N329" s="3" t="s">
        <v>3359</v>
      </c>
      <c r="O329" s="3" t="s">
        <v>3360</v>
      </c>
      <c r="P329" s="3" t="s">
        <v>3361</v>
      </c>
      <c r="Q329" s="3" t="s">
        <v>3362</v>
      </c>
      <c r="R329" s="3" t="s">
        <v>3362</v>
      </c>
      <c r="S329" s="2" t="s">
        <v>3054</v>
      </c>
      <c r="T329" s="2" t="s">
        <v>39</v>
      </c>
      <c r="U329" s="2" t="s">
        <v>40</v>
      </c>
      <c r="V329" s="3"/>
    </row>
    <row r="330" spans="1:22">
      <c r="A330" s="2">
        <v>329</v>
      </c>
      <c r="B330" s="3" t="s">
        <v>3083</v>
      </c>
      <c r="C330" s="3" t="s">
        <v>3363</v>
      </c>
      <c r="D330" s="3" t="s">
        <v>3364</v>
      </c>
      <c r="E330" s="2" t="s">
        <v>621</v>
      </c>
      <c r="F330" s="2" t="s">
        <v>43</v>
      </c>
      <c r="G330" s="3" t="s">
        <v>3365</v>
      </c>
      <c r="H330" s="2" t="s">
        <v>3366</v>
      </c>
      <c r="I330" s="3" t="s">
        <v>29</v>
      </c>
      <c r="J330" s="3" t="s">
        <v>3367</v>
      </c>
      <c r="K330" s="3" t="s">
        <v>47</v>
      </c>
      <c r="L330" s="3" t="s">
        <v>167</v>
      </c>
      <c r="M330" s="3" t="s">
        <v>3368</v>
      </c>
      <c r="N330" s="3" t="s">
        <v>3369</v>
      </c>
      <c r="O330" s="3" t="s">
        <v>3370</v>
      </c>
      <c r="P330" s="3" t="s">
        <v>3371</v>
      </c>
      <c r="Q330" s="3" t="s">
        <v>3372</v>
      </c>
      <c r="R330" s="3" t="s">
        <v>3372</v>
      </c>
      <c r="S330" s="2" t="s">
        <v>3054</v>
      </c>
      <c r="T330" s="2" t="s">
        <v>39</v>
      </c>
      <c r="U330" s="2" t="s">
        <v>40</v>
      </c>
      <c r="V330" s="3"/>
    </row>
    <row r="331" spans="1:22">
      <c r="A331" s="2">
        <v>330</v>
      </c>
      <c r="B331" s="3" t="s">
        <v>3083</v>
      </c>
      <c r="C331" s="3" t="s">
        <v>3373</v>
      </c>
      <c r="D331" s="3" t="s">
        <v>3374</v>
      </c>
      <c r="E331" s="2" t="s">
        <v>103</v>
      </c>
      <c r="F331" s="2" t="s">
        <v>26</v>
      </c>
      <c r="G331" s="3" t="s">
        <v>3375</v>
      </c>
      <c r="H331" s="2" t="s">
        <v>3376</v>
      </c>
      <c r="I331" s="3" t="s">
        <v>29</v>
      </c>
      <c r="J331" s="3" t="s">
        <v>3377</v>
      </c>
      <c r="K331" s="3" t="s">
        <v>47</v>
      </c>
      <c r="L331" s="3" t="s">
        <v>132</v>
      </c>
      <c r="M331" s="3" t="s">
        <v>3378</v>
      </c>
      <c r="N331" s="3" t="s">
        <v>3379</v>
      </c>
      <c r="O331" s="3" t="s">
        <v>3380</v>
      </c>
      <c r="P331" s="3" t="s">
        <v>3381</v>
      </c>
      <c r="Q331" s="3" t="s">
        <v>3382</v>
      </c>
      <c r="R331" s="3" t="s">
        <v>3382</v>
      </c>
      <c r="S331" s="2" t="s">
        <v>3054</v>
      </c>
      <c r="T331" s="2" t="s">
        <v>39</v>
      </c>
      <c r="U331" s="2" t="s">
        <v>40</v>
      </c>
      <c r="V331" s="3"/>
    </row>
    <row r="332" spans="1:22">
      <c r="A332" s="2">
        <v>331</v>
      </c>
      <c r="B332" s="3" t="s">
        <v>3083</v>
      </c>
      <c r="C332" s="3" t="s">
        <v>3383</v>
      </c>
      <c r="D332" s="3" t="s">
        <v>3384</v>
      </c>
      <c r="E332" s="2" t="s">
        <v>81</v>
      </c>
      <c r="F332" s="2" t="s">
        <v>26</v>
      </c>
      <c r="G332" s="3" t="s">
        <v>3385</v>
      </c>
      <c r="H332" s="2" t="s">
        <v>3386</v>
      </c>
      <c r="I332" s="3" t="s">
        <v>29</v>
      </c>
      <c r="J332" s="3" t="s">
        <v>3387</v>
      </c>
      <c r="K332" s="3" t="s">
        <v>120</v>
      </c>
      <c r="L332" s="3" t="s">
        <v>132</v>
      </c>
      <c r="M332" s="3" t="s">
        <v>3388</v>
      </c>
      <c r="N332" s="3" t="s">
        <v>3389</v>
      </c>
      <c r="O332" s="3" t="s">
        <v>3390</v>
      </c>
      <c r="P332" s="3" t="s">
        <v>3391</v>
      </c>
      <c r="Q332" s="3" t="s">
        <v>3392</v>
      </c>
      <c r="R332" s="3" t="s">
        <v>3392</v>
      </c>
      <c r="S332" s="2" t="s">
        <v>3054</v>
      </c>
      <c r="T332" s="2" t="s">
        <v>39</v>
      </c>
      <c r="U332" s="2" t="s">
        <v>40</v>
      </c>
      <c r="V332" s="3"/>
    </row>
    <row r="333" spans="1:22">
      <c r="A333" s="2">
        <v>332</v>
      </c>
      <c r="B333" s="3" t="s">
        <v>3083</v>
      </c>
      <c r="C333" s="3" t="s">
        <v>3393</v>
      </c>
      <c r="D333" s="3" t="s">
        <v>3394</v>
      </c>
      <c r="E333" s="2" t="s">
        <v>185</v>
      </c>
      <c r="F333" s="2" t="s">
        <v>26</v>
      </c>
      <c r="G333" s="3" t="s">
        <v>3395</v>
      </c>
      <c r="H333" s="2" t="s">
        <v>3396</v>
      </c>
      <c r="I333" s="3" t="s">
        <v>29</v>
      </c>
      <c r="J333" s="3" t="s">
        <v>3397</v>
      </c>
      <c r="K333" s="3" t="s">
        <v>47</v>
      </c>
      <c r="L333" s="3" t="s">
        <v>293</v>
      </c>
      <c r="M333" s="3" t="s">
        <v>3398</v>
      </c>
      <c r="N333" s="3" t="s">
        <v>1011</v>
      </c>
      <c r="O333" s="3" t="s">
        <v>3399</v>
      </c>
      <c r="P333" s="3" t="s">
        <v>3400</v>
      </c>
      <c r="Q333" s="3" t="s">
        <v>3401</v>
      </c>
      <c r="R333" s="3" t="s">
        <v>3401</v>
      </c>
      <c r="S333" s="2" t="s">
        <v>3054</v>
      </c>
      <c r="T333" s="2" t="s">
        <v>39</v>
      </c>
      <c r="U333" s="2" t="s">
        <v>40</v>
      </c>
      <c r="V333" s="3"/>
    </row>
    <row r="334" spans="1:22">
      <c r="A334" s="2">
        <v>333</v>
      </c>
      <c r="B334" s="3" t="s">
        <v>3083</v>
      </c>
      <c r="C334" s="3" t="s">
        <v>3402</v>
      </c>
      <c r="D334" s="3" t="s">
        <v>3403</v>
      </c>
      <c r="E334" s="2" t="s">
        <v>69</v>
      </c>
      <c r="F334" s="2" t="s">
        <v>26</v>
      </c>
      <c r="G334" s="3" t="s">
        <v>3404</v>
      </c>
      <c r="H334" s="2" t="s">
        <v>3405</v>
      </c>
      <c r="I334" s="3" t="s">
        <v>29</v>
      </c>
      <c r="J334" s="3" t="s">
        <v>3406</v>
      </c>
      <c r="K334" s="3" t="s">
        <v>541</v>
      </c>
      <c r="L334" s="3" t="s">
        <v>48</v>
      </c>
      <c r="M334" s="3" t="s">
        <v>3407</v>
      </c>
      <c r="N334" s="3" t="s">
        <v>3408</v>
      </c>
      <c r="O334" s="3" t="s">
        <v>3409</v>
      </c>
      <c r="P334" s="3" t="s">
        <v>3410</v>
      </c>
      <c r="Q334" s="3" t="s">
        <v>3411</v>
      </c>
      <c r="R334" s="3" t="s">
        <v>3411</v>
      </c>
      <c r="S334" s="2" t="s">
        <v>3054</v>
      </c>
      <c r="T334" s="2" t="s">
        <v>39</v>
      </c>
      <c r="U334" s="2" t="s">
        <v>40</v>
      </c>
      <c r="V334" s="3"/>
    </row>
    <row r="335" spans="1:22">
      <c r="A335" s="2">
        <v>334</v>
      </c>
      <c r="B335" s="3" t="s">
        <v>3083</v>
      </c>
      <c r="C335" s="3" t="s">
        <v>3412</v>
      </c>
      <c r="D335" s="3" t="s">
        <v>3413</v>
      </c>
      <c r="E335" s="2" t="s">
        <v>913</v>
      </c>
      <c r="F335" s="2" t="s">
        <v>26</v>
      </c>
      <c r="G335" s="3" t="s">
        <v>3414</v>
      </c>
      <c r="H335" s="2" t="s">
        <v>3415</v>
      </c>
      <c r="I335" s="3" t="s">
        <v>29</v>
      </c>
      <c r="J335" s="3" t="s">
        <v>3416</v>
      </c>
      <c r="K335" s="3" t="s">
        <v>47</v>
      </c>
      <c r="L335" s="3" t="s">
        <v>323</v>
      </c>
      <c r="M335" s="3" t="s">
        <v>3417</v>
      </c>
      <c r="N335" s="3" t="s">
        <v>3418</v>
      </c>
      <c r="O335" s="3" t="s">
        <v>3419</v>
      </c>
      <c r="P335" s="3" t="s">
        <v>3420</v>
      </c>
      <c r="Q335" s="3" t="s">
        <v>3421</v>
      </c>
      <c r="R335" s="3" t="s">
        <v>3421</v>
      </c>
      <c r="S335" s="2" t="s">
        <v>3054</v>
      </c>
      <c r="T335" s="2" t="s">
        <v>39</v>
      </c>
      <c r="U335" s="2" t="s">
        <v>40</v>
      </c>
      <c r="V335" s="3"/>
    </row>
    <row r="336" spans="1:22">
      <c r="A336" s="2">
        <v>335</v>
      </c>
      <c r="B336" s="3" t="s">
        <v>3083</v>
      </c>
      <c r="C336" s="3" t="s">
        <v>3422</v>
      </c>
      <c r="D336" s="3" t="s">
        <v>3423</v>
      </c>
      <c r="E336" s="2" t="s">
        <v>913</v>
      </c>
      <c r="F336" s="2" t="s">
        <v>43</v>
      </c>
      <c r="G336" s="3" t="s">
        <v>3424</v>
      </c>
      <c r="H336" s="2" t="s">
        <v>3425</v>
      </c>
      <c r="I336" s="3" t="s">
        <v>29</v>
      </c>
      <c r="J336" s="3" t="s">
        <v>3426</v>
      </c>
      <c r="K336" s="3" t="s">
        <v>47</v>
      </c>
      <c r="L336" s="3" t="s">
        <v>132</v>
      </c>
      <c r="M336" s="3" t="s">
        <v>3427</v>
      </c>
      <c r="N336" s="3" t="s">
        <v>3428</v>
      </c>
      <c r="O336" s="3" t="s">
        <v>3429</v>
      </c>
      <c r="P336" s="3" t="s">
        <v>3430</v>
      </c>
      <c r="Q336" s="3" t="s">
        <v>3431</v>
      </c>
      <c r="R336" s="3" t="s">
        <v>3431</v>
      </c>
      <c r="S336" s="2" t="s">
        <v>3054</v>
      </c>
      <c r="T336" s="2" t="s">
        <v>39</v>
      </c>
      <c r="U336" s="2" t="s">
        <v>40</v>
      </c>
      <c r="V336" s="3"/>
    </row>
    <row r="337" spans="1:22">
      <c r="A337" s="2">
        <v>336</v>
      </c>
      <c r="B337" s="3" t="s">
        <v>3083</v>
      </c>
      <c r="C337" s="3" t="s">
        <v>3432</v>
      </c>
      <c r="D337" s="3" t="s">
        <v>3433</v>
      </c>
      <c r="E337" s="2" t="s">
        <v>69</v>
      </c>
      <c r="F337" s="2" t="s">
        <v>43</v>
      </c>
      <c r="G337" s="3" t="s">
        <v>3434</v>
      </c>
      <c r="H337" s="2" t="s">
        <v>3435</v>
      </c>
      <c r="I337" s="3" t="s">
        <v>29</v>
      </c>
      <c r="J337" s="3" t="s">
        <v>3436</v>
      </c>
      <c r="K337" s="3" t="s">
        <v>47</v>
      </c>
      <c r="L337" s="3" t="s">
        <v>108</v>
      </c>
      <c r="M337" s="3" t="s">
        <v>3437</v>
      </c>
      <c r="N337" s="3" t="s">
        <v>3438</v>
      </c>
      <c r="O337" s="3" t="s">
        <v>3439</v>
      </c>
      <c r="P337" s="3" t="s">
        <v>3440</v>
      </c>
      <c r="Q337" s="3" t="s">
        <v>3441</v>
      </c>
      <c r="R337" s="3" t="s">
        <v>3441</v>
      </c>
      <c r="S337" s="2" t="s">
        <v>3054</v>
      </c>
      <c r="T337" s="2" t="s">
        <v>39</v>
      </c>
      <c r="U337" s="2" t="s">
        <v>40</v>
      </c>
      <c r="V337" s="3"/>
    </row>
    <row r="338" spans="1:22">
      <c r="A338" s="2">
        <v>337</v>
      </c>
      <c r="B338" s="3" t="s">
        <v>3083</v>
      </c>
      <c r="C338" s="3" t="s">
        <v>3442</v>
      </c>
      <c r="D338" s="3" t="s">
        <v>3443</v>
      </c>
      <c r="E338" s="2" t="s">
        <v>3444</v>
      </c>
      <c r="F338" s="2" t="s">
        <v>26</v>
      </c>
      <c r="G338" s="3" t="s">
        <v>3445</v>
      </c>
      <c r="H338" s="2" t="s">
        <v>3446</v>
      </c>
      <c r="I338" s="3" t="s">
        <v>29</v>
      </c>
      <c r="J338" s="3" t="s">
        <v>3447</v>
      </c>
      <c r="K338" s="3" t="s">
        <v>47</v>
      </c>
      <c r="L338" s="3" t="s">
        <v>132</v>
      </c>
      <c r="M338" s="3" t="s">
        <v>3448</v>
      </c>
      <c r="N338" s="3" t="s">
        <v>3449</v>
      </c>
      <c r="O338" s="3" t="s">
        <v>3450</v>
      </c>
      <c r="P338" s="3" t="s">
        <v>3451</v>
      </c>
      <c r="Q338" s="3" t="s">
        <v>3452</v>
      </c>
      <c r="R338" s="3" t="s">
        <v>3452</v>
      </c>
      <c r="S338" s="2" t="s">
        <v>3054</v>
      </c>
      <c r="T338" s="2" t="s">
        <v>39</v>
      </c>
      <c r="U338" s="2" t="s">
        <v>40</v>
      </c>
      <c r="V338" s="3"/>
    </row>
    <row r="339" spans="1:22">
      <c r="A339" s="2">
        <v>338</v>
      </c>
      <c r="B339" s="3" t="s">
        <v>3083</v>
      </c>
      <c r="C339" s="3" t="s">
        <v>3453</v>
      </c>
      <c r="D339" s="3" t="s">
        <v>3454</v>
      </c>
      <c r="E339" s="2" t="s">
        <v>103</v>
      </c>
      <c r="F339" s="2" t="s">
        <v>43</v>
      </c>
      <c r="G339" s="3" t="s">
        <v>3455</v>
      </c>
      <c r="H339" s="2" t="s">
        <v>3456</v>
      </c>
      <c r="I339" s="3" t="s">
        <v>29</v>
      </c>
      <c r="J339" s="3" t="s">
        <v>3457</v>
      </c>
      <c r="K339" s="3" t="s">
        <v>47</v>
      </c>
      <c r="L339" s="3" t="s">
        <v>167</v>
      </c>
      <c r="M339" s="3" t="s">
        <v>3458</v>
      </c>
      <c r="N339" s="3" t="s">
        <v>3459</v>
      </c>
      <c r="O339" s="3" t="s">
        <v>3460</v>
      </c>
      <c r="P339" s="3" t="s">
        <v>3461</v>
      </c>
      <c r="Q339" s="3" t="s">
        <v>3462</v>
      </c>
      <c r="R339" s="3" t="s">
        <v>3462</v>
      </c>
      <c r="S339" s="2" t="s">
        <v>3054</v>
      </c>
      <c r="T339" s="2" t="s">
        <v>39</v>
      </c>
      <c r="U339" s="2" t="s">
        <v>40</v>
      </c>
      <c r="V339" s="3"/>
    </row>
    <row r="340" spans="1:22">
      <c r="A340" s="2">
        <v>339</v>
      </c>
      <c r="B340" s="3" t="s">
        <v>3083</v>
      </c>
      <c r="C340" s="3" t="s">
        <v>3463</v>
      </c>
      <c r="D340" s="3" t="s">
        <v>3464</v>
      </c>
      <c r="E340" s="2" t="s">
        <v>69</v>
      </c>
      <c r="F340" s="2" t="s">
        <v>26</v>
      </c>
      <c r="G340" s="3" t="s">
        <v>3465</v>
      </c>
      <c r="H340" s="2" t="s">
        <v>3466</v>
      </c>
      <c r="I340" s="3" t="s">
        <v>29</v>
      </c>
      <c r="J340" s="3" t="s">
        <v>3467</v>
      </c>
      <c r="K340" s="3" t="s">
        <v>107</v>
      </c>
      <c r="L340" s="3" t="s">
        <v>32</v>
      </c>
      <c r="M340" s="3" t="s">
        <v>3468</v>
      </c>
      <c r="N340" s="3" t="s">
        <v>3469</v>
      </c>
      <c r="O340" s="3" t="s">
        <v>3470</v>
      </c>
      <c r="P340" s="3" t="s">
        <v>3471</v>
      </c>
      <c r="Q340" s="3" t="s">
        <v>3472</v>
      </c>
      <c r="R340" s="3" t="s">
        <v>3472</v>
      </c>
      <c r="S340" s="2" t="s">
        <v>3054</v>
      </c>
      <c r="T340" s="2" t="s">
        <v>39</v>
      </c>
      <c r="U340" s="2" t="s">
        <v>40</v>
      </c>
      <c r="V340" s="3"/>
    </row>
    <row r="341" spans="1:22">
      <c r="A341" s="2">
        <v>340</v>
      </c>
      <c r="B341" s="3" t="s">
        <v>3083</v>
      </c>
      <c r="C341" s="3" t="s">
        <v>3473</v>
      </c>
      <c r="D341" s="3" t="s">
        <v>3474</v>
      </c>
      <c r="E341" s="2" t="s">
        <v>351</v>
      </c>
      <c r="F341" s="2" t="s">
        <v>26</v>
      </c>
      <c r="G341" s="3" t="s">
        <v>3475</v>
      </c>
      <c r="H341" s="2" t="s">
        <v>3476</v>
      </c>
      <c r="I341" s="3" t="s">
        <v>29</v>
      </c>
      <c r="J341" s="3" t="s">
        <v>3477</v>
      </c>
      <c r="K341" s="3" t="s">
        <v>47</v>
      </c>
      <c r="L341" s="3" t="s">
        <v>132</v>
      </c>
      <c r="M341" s="3" t="s">
        <v>3478</v>
      </c>
      <c r="N341" s="3" t="s">
        <v>3479</v>
      </c>
      <c r="O341" s="3" t="s">
        <v>3480</v>
      </c>
      <c r="P341" s="3" t="s">
        <v>3481</v>
      </c>
      <c r="Q341" s="3" t="s">
        <v>3482</v>
      </c>
      <c r="R341" s="3" t="s">
        <v>3482</v>
      </c>
      <c r="S341" s="2" t="s">
        <v>3054</v>
      </c>
      <c r="T341" s="2" t="s">
        <v>39</v>
      </c>
      <c r="U341" s="2" t="s">
        <v>40</v>
      </c>
      <c r="V341" s="3"/>
    </row>
    <row r="342" spans="1:22">
      <c r="A342" s="2">
        <v>341</v>
      </c>
      <c r="B342" s="3" t="s">
        <v>3083</v>
      </c>
      <c r="C342" s="3" t="s">
        <v>3483</v>
      </c>
      <c r="D342" s="3" t="s">
        <v>3484</v>
      </c>
      <c r="E342" s="2" t="s">
        <v>185</v>
      </c>
      <c r="F342" s="2" t="s">
        <v>26</v>
      </c>
      <c r="G342" s="3" t="s">
        <v>3485</v>
      </c>
      <c r="H342" s="2" t="s">
        <v>3486</v>
      </c>
      <c r="I342" s="3" t="s">
        <v>29</v>
      </c>
      <c r="J342" s="3" t="s">
        <v>3487</v>
      </c>
      <c r="K342" s="3" t="s">
        <v>47</v>
      </c>
      <c r="L342" s="3" t="s">
        <v>73</v>
      </c>
      <c r="M342" s="3" t="s">
        <v>3488</v>
      </c>
      <c r="N342" s="3" t="s">
        <v>3489</v>
      </c>
      <c r="O342" s="3" t="s">
        <v>3490</v>
      </c>
      <c r="P342" s="3" t="s">
        <v>3491</v>
      </c>
      <c r="Q342" s="3" t="s">
        <v>3492</v>
      </c>
      <c r="R342" s="3" t="s">
        <v>3492</v>
      </c>
      <c r="S342" s="2" t="s">
        <v>3054</v>
      </c>
      <c r="T342" s="2" t="s">
        <v>39</v>
      </c>
      <c r="U342" s="2" t="s">
        <v>40</v>
      </c>
      <c r="V342" s="3"/>
    </row>
    <row r="343" spans="1:22">
      <c r="A343" s="2">
        <v>342</v>
      </c>
      <c r="B343" s="3" t="s">
        <v>3083</v>
      </c>
      <c r="C343" s="3" t="s">
        <v>3493</v>
      </c>
      <c r="D343" s="3" t="s">
        <v>3494</v>
      </c>
      <c r="E343" s="2" t="s">
        <v>69</v>
      </c>
      <c r="F343" s="2" t="s">
        <v>26</v>
      </c>
      <c r="G343" s="3" t="s">
        <v>3495</v>
      </c>
      <c r="H343" s="2" t="s">
        <v>3496</v>
      </c>
      <c r="I343" s="3" t="s">
        <v>29</v>
      </c>
      <c r="J343" s="3" t="s">
        <v>3497</v>
      </c>
      <c r="K343" s="3" t="s">
        <v>47</v>
      </c>
      <c r="L343" s="3" t="s">
        <v>132</v>
      </c>
      <c r="M343" s="3" t="s">
        <v>3498</v>
      </c>
      <c r="N343" s="3" t="s">
        <v>3499</v>
      </c>
      <c r="O343" s="3" t="s">
        <v>3500</v>
      </c>
      <c r="P343" s="3" t="s">
        <v>3501</v>
      </c>
      <c r="Q343" s="3" t="s">
        <v>3502</v>
      </c>
      <c r="R343" s="3" t="s">
        <v>3502</v>
      </c>
      <c r="S343" s="2" t="s">
        <v>3054</v>
      </c>
      <c r="T343" s="2" t="s">
        <v>39</v>
      </c>
      <c r="U343" s="2" t="s">
        <v>40</v>
      </c>
      <c r="V343" s="3"/>
    </row>
    <row r="344" spans="1:22">
      <c r="A344" s="2">
        <v>343</v>
      </c>
      <c r="B344" s="3" t="s">
        <v>3083</v>
      </c>
      <c r="C344" s="3" t="s">
        <v>3503</v>
      </c>
      <c r="D344" s="3" t="s">
        <v>3504</v>
      </c>
      <c r="E344" s="2" t="s">
        <v>773</v>
      </c>
      <c r="F344" s="2" t="s">
        <v>26</v>
      </c>
      <c r="G344" s="3" t="s">
        <v>3505</v>
      </c>
      <c r="H344" s="2" t="s">
        <v>3506</v>
      </c>
      <c r="I344" s="3" t="s">
        <v>29</v>
      </c>
      <c r="J344" s="3" t="s">
        <v>3507</v>
      </c>
      <c r="K344" s="3" t="s">
        <v>47</v>
      </c>
      <c r="L344" s="3" t="s">
        <v>73</v>
      </c>
      <c r="M344" s="3" t="s">
        <v>3508</v>
      </c>
      <c r="N344" s="3" t="s">
        <v>3509</v>
      </c>
      <c r="O344" s="3" t="s">
        <v>3510</v>
      </c>
      <c r="P344" s="3" t="s">
        <v>3511</v>
      </c>
      <c r="Q344" s="3" t="s">
        <v>3512</v>
      </c>
      <c r="R344" s="3" t="s">
        <v>3512</v>
      </c>
      <c r="S344" s="2" t="s">
        <v>3054</v>
      </c>
      <c r="T344" s="2" t="s">
        <v>39</v>
      </c>
      <c r="U344" s="2" t="s">
        <v>40</v>
      </c>
      <c r="V344" s="3"/>
    </row>
    <row r="345" spans="1:22">
      <c r="A345" s="2">
        <v>344</v>
      </c>
      <c r="B345" s="3" t="s">
        <v>3083</v>
      </c>
      <c r="C345" s="3" t="s">
        <v>3513</v>
      </c>
      <c r="D345" s="3" t="s">
        <v>3514</v>
      </c>
      <c r="E345" s="2" t="s">
        <v>69</v>
      </c>
      <c r="F345" s="2" t="s">
        <v>26</v>
      </c>
      <c r="G345" s="3" t="s">
        <v>3515</v>
      </c>
      <c r="H345" s="2" t="s">
        <v>3516</v>
      </c>
      <c r="I345" s="3" t="s">
        <v>29</v>
      </c>
      <c r="J345" s="3" t="s">
        <v>3517</v>
      </c>
      <c r="K345" s="3" t="s">
        <v>120</v>
      </c>
      <c r="L345" s="3" t="s">
        <v>293</v>
      </c>
      <c r="M345" s="3" t="s">
        <v>3518</v>
      </c>
      <c r="N345" s="3" t="s">
        <v>3519</v>
      </c>
      <c r="O345" s="3" t="s">
        <v>3520</v>
      </c>
      <c r="P345" s="3" t="s">
        <v>3521</v>
      </c>
      <c r="Q345" s="3" t="s">
        <v>3522</v>
      </c>
      <c r="R345" s="3" t="s">
        <v>3522</v>
      </c>
      <c r="S345" s="2" t="s">
        <v>3054</v>
      </c>
      <c r="T345" s="2" t="s">
        <v>39</v>
      </c>
      <c r="U345" s="2" t="s">
        <v>40</v>
      </c>
      <c r="V345" s="3"/>
    </row>
    <row r="346" spans="1:22">
      <c r="A346" s="2">
        <v>345</v>
      </c>
      <c r="B346" s="3" t="s">
        <v>3083</v>
      </c>
      <c r="C346" s="3" t="s">
        <v>3523</v>
      </c>
      <c r="D346" s="3" t="s">
        <v>3524</v>
      </c>
      <c r="E346" s="2" t="s">
        <v>116</v>
      </c>
      <c r="F346" s="2" t="s">
        <v>26</v>
      </c>
      <c r="G346" s="3" t="s">
        <v>3525</v>
      </c>
      <c r="H346" s="2" t="s">
        <v>3526</v>
      </c>
      <c r="I346" s="3" t="s">
        <v>29</v>
      </c>
      <c r="J346" s="3" t="s">
        <v>3527</v>
      </c>
      <c r="K346" s="3" t="s">
        <v>1896</v>
      </c>
      <c r="L346" s="3" t="s">
        <v>167</v>
      </c>
      <c r="M346" s="3" t="s">
        <v>3528</v>
      </c>
      <c r="N346" s="3" t="s">
        <v>3529</v>
      </c>
      <c r="O346" s="3" t="s">
        <v>3530</v>
      </c>
      <c r="P346" s="3" t="s">
        <v>3531</v>
      </c>
      <c r="Q346" s="3" t="s">
        <v>3532</v>
      </c>
      <c r="R346" s="3" t="s">
        <v>3532</v>
      </c>
      <c r="S346" s="2" t="s">
        <v>3054</v>
      </c>
      <c r="T346" s="2" t="s">
        <v>39</v>
      </c>
      <c r="U346" s="2" t="s">
        <v>40</v>
      </c>
      <c r="V346" s="3"/>
    </row>
    <row r="347" spans="1:22">
      <c r="A347" s="2">
        <v>346</v>
      </c>
      <c r="B347" s="3" t="s">
        <v>3083</v>
      </c>
      <c r="C347" s="3" t="s">
        <v>3533</v>
      </c>
      <c r="D347" s="3" t="s">
        <v>3534</v>
      </c>
      <c r="E347" s="2" t="s">
        <v>621</v>
      </c>
      <c r="F347" s="2" t="s">
        <v>26</v>
      </c>
      <c r="G347" s="3" t="s">
        <v>3535</v>
      </c>
      <c r="H347" s="2" t="s">
        <v>3536</v>
      </c>
      <c r="I347" s="3" t="s">
        <v>29</v>
      </c>
      <c r="J347" s="3" t="s">
        <v>3537</v>
      </c>
      <c r="K347" s="3" t="s">
        <v>272</v>
      </c>
      <c r="L347" s="3" t="s">
        <v>167</v>
      </c>
      <c r="M347" s="3" t="s">
        <v>3538</v>
      </c>
      <c r="N347" s="3" t="s">
        <v>3539</v>
      </c>
      <c r="O347" s="3" t="s">
        <v>3540</v>
      </c>
      <c r="P347" s="3" t="s">
        <v>3541</v>
      </c>
      <c r="Q347" s="3" t="s">
        <v>3542</v>
      </c>
      <c r="R347" s="3" t="s">
        <v>3542</v>
      </c>
      <c r="S347" s="2" t="s">
        <v>3054</v>
      </c>
      <c r="T347" s="2" t="s">
        <v>39</v>
      </c>
      <c r="U347" s="2" t="s">
        <v>40</v>
      </c>
      <c r="V347" s="3"/>
    </row>
    <row r="348" spans="1:22">
      <c r="A348" s="2">
        <v>347</v>
      </c>
      <c r="B348" s="3" t="s">
        <v>3083</v>
      </c>
      <c r="C348" s="3" t="s">
        <v>3543</v>
      </c>
      <c r="D348" s="3" t="s">
        <v>3544</v>
      </c>
      <c r="E348" s="2" t="s">
        <v>257</v>
      </c>
      <c r="F348" s="2" t="s">
        <v>26</v>
      </c>
      <c r="G348" s="3" t="s">
        <v>3545</v>
      </c>
      <c r="H348" s="2" t="s">
        <v>3546</v>
      </c>
      <c r="I348" s="3" t="s">
        <v>29</v>
      </c>
      <c r="J348" s="3" t="s">
        <v>3547</v>
      </c>
      <c r="K348" s="3" t="s">
        <v>47</v>
      </c>
      <c r="L348" s="3" t="s">
        <v>132</v>
      </c>
      <c r="M348" s="3" t="s">
        <v>3548</v>
      </c>
      <c r="N348" s="3" t="s">
        <v>3549</v>
      </c>
      <c r="O348" s="3" t="s">
        <v>3550</v>
      </c>
      <c r="P348" s="3" t="s">
        <v>3551</v>
      </c>
      <c r="Q348" s="3" t="s">
        <v>3552</v>
      </c>
      <c r="R348" s="3" t="s">
        <v>3552</v>
      </c>
      <c r="S348" s="2" t="s">
        <v>38</v>
      </c>
      <c r="T348" s="2" t="s">
        <v>39</v>
      </c>
      <c r="U348" s="2" t="s">
        <v>40</v>
      </c>
      <c r="V348" s="3"/>
    </row>
    <row r="349" spans="1:22">
      <c r="A349" s="2">
        <v>348</v>
      </c>
      <c r="B349" s="3" t="s">
        <v>3083</v>
      </c>
      <c r="C349" s="3" t="s">
        <v>3553</v>
      </c>
      <c r="D349" s="3" t="s">
        <v>3554</v>
      </c>
      <c r="E349" s="2" t="s">
        <v>621</v>
      </c>
      <c r="F349" s="2" t="s">
        <v>43</v>
      </c>
      <c r="G349" s="3" t="s">
        <v>3555</v>
      </c>
      <c r="H349" s="2" t="s">
        <v>3556</v>
      </c>
      <c r="I349" s="3" t="s">
        <v>29</v>
      </c>
      <c r="J349" s="3" t="s">
        <v>3557</v>
      </c>
      <c r="K349" s="3" t="s">
        <v>47</v>
      </c>
      <c r="L349" s="3" t="s">
        <v>293</v>
      </c>
      <c r="M349" s="3" t="s">
        <v>3558</v>
      </c>
      <c r="N349" s="3" t="s">
        <v>3559</v>
      </c>
      <c r="O349" s="3" t="s">
        <v>3560</v>
      </c>
      <c r="P349" s="3" t="s">
        <v>3561</v>
      </c>
      <c r="Q349" s="3" t="s">
        <v>3562</v>
      </c>
      <c r="R349" s="3" t="s">
        <v>3562</v>
      </c>
      <c r="S349" s="2" t="s">
        <v>38</v>
      </c>
      <c r="T349" s="2" t="s">
        <v>39</v>
      </c>
      <c r="U349" s="2" t="s">
        <v>40</v>
      </c>
      <c r="V349" s="3"/>
    </row>
    <row r="350" spans="1:22">
      <c r="A350" s="2">
        <v>349</v>
      </c>
      <c r="B350" s="3" t="s">
        <v>3083</v>
      </c>
      <c r="C350" s="3" t="s">
        <v>3563</v>
      </c>
      <c r="D350" s="3" t="s">
        <v>3564</v>
      </c>
      <c r="E350" s="2" t="s">
        <v>185</v>
      </c>
      <c r="F350" s="2" t="s">
        <v>43</v>
      </c>
      <c r="G350" s="3" t="s">
        <v>3565</v>
      </c>
      <c r="H350" s="2" t="s">
        <v>3566</v>
      </c>
      <c r="I350" s="3" t="s">
        <v>29</v>
      </c>
      <c r="J350" s="3" t="s">
        <v>3567</v>
      </c>
      <c r="K350" s="3" t="s">
        <v>47</v>
      </c>
      <c r="L350" s="3" t="s">
        <v>293</v>
      </c>
      <c r="M350" s="3" t="s">
        <v>3568</v>
      </c>
      <c r="N350" s="3" t="s">
        <v>3569</v>
      </c>
      <c r="O350" s="3" t="s">
        <v>3570</v>
      </c>
      <c r="P350" s="3" t="s">
        <v>3571</v>
      </c>
      <c r="Q350" s="3" t="s">
        <v>3572</v>
      </c>
      <c r="R350" s="3" t="s">
        <v>3572</v>
      </c>
      <c r="S350" s="2" t="s">
        <v>38</v>
      </c>
      <c r="T350" s="2" t="s">
        <v>39</v>
      </c>
      <c r="U350" s="2" t="s">
        <v>40</v>
      </c>
      <c r="V350" s="3"/>
    </row>
    <row r="351" spans="1:22">
      <c r="A351" s="2">
        <v>350</v>
      </c>
      <c r="B351" s="3" t="s">
        <v>3083</v>
      </c>
      <c r="C351" s="3" t="s">
        <v>3573</v>
      </c>
      <c r="D351" s="3" t="s">
        <v>3574</v>
      </c>
      <c r="E351" s="2" t="s">
        <v>383</v>
      </c>
      <c r="F351" s="2" t="s">
        <v>26</v>
      </c>
      <c r="G351" s="3" t="s">
        <v>3575</v>
      </c>
      <c r="H351" s="2" t="s">
        <v>3576</v>
      </c>
      <c r="I351" s="3" t="s">
        <v>29</v>
      </c>
      <c r="J351" s="3" t="s">
        <v>3577</v>
      </c>
      <c r="K351" s="3" t="s">
        <v>47</v>
      </c>
      <c r="L351" s="3" t="s">
        <v>132</v>
      </c>
      <c r="M351" s="3" t="s">
        <v>3578</v>
      </c>
      <c r="N351" s="3" t="s">
        <v>3579</v>
      </c>
      <c r="O351" s="3" t="s">
        <v>3580</v>
      </c>
      <c r="P351" s="3" t="s">
        <v>3581</v>
      </c>
      <c r="Q351" s="3" t="s">
        <v>3582</v>
      </c>
      <c r="R351" s="3" t="s">
        <v>3582</v>
      </c>
      <c r="S351" s="2" t="s">
        <v>38</v>
      </c>
      <c r="T351" s="2" t="s">
        <v>39</v>
      </c>
      <c r="U351" s="2" t="s">
        <v>40</v>
      </c>
      <c r="V351" s="3"/>
    </row>
    <row r="352" spans="1:22">
      <c r="A352" s="2">
        <v>351</v>
      </c>
      <c r="B352" s="3" t="s">
        <v>3583</v>
      </c>
      <c r="C352" s="3" t="s">
        <v>3584</v>
      </c>
      <c r="D352" s="3" t="s">
        <v>3585</v>
      </c>
      <c r="E352" s="2" t="s">
        <v>257</v>
      </c>
      <c r="F352" s="2" t="s">
        <v>26</v>
      </c>
      <c r="G352" s="3" t="s">
        <v>3586</v>
      </c>
      <c r="H352" s="2" t="s">
        <v>3587</v>
      </c>
      <c r="I352" s="3" t="s">
        <v>29</v>
      </c>
      <c r="J352" s="3" t="s">
        <v>3588</v>
      </c>
      <c r="K352" s="3" t="s">
        <v>107</v>
      </c>
      <c r="L352" s="3" t="s">
        <v>32</v>
      </c>
      <c r="M352" s="3" t="s">
        <v>3589</v>
      </c>
      <c r="N352" s="3" t="s">
        <v>3590</v>
      </c>
      <c r="O352" s="3" t="s">
        <v>3591</v>
      </c>
      <c r="P352" s="3" t="s">
        <v>3592</v>
      </c>
      <c r="Q352" s="3" t="s">
        <v>3593</v>
      </c>
      <c r="R352" s="3" t="s">
        <v>3593</v>
      </c>
      <c r="S352" s="2" t="s">
        <v>38</v>
      </c>
      <c r="T352" s="2" t="s">
        <v>39</v>
      </c>
      <c r="U352" s="2" t="s">
        <v>40</v>
      </c>
      <c r="V352" s="3"/>
    </row>
    <row r="353" spans="1:22">
      <c r="A353" s="2">
        <v>352</v>
      </c>
      <c r="B353" s="3" t="s">
        <v>3583</v>
      </c>
      <c r="C353" s="3" t="s">
        <v>3594</v>
      </c>
      <c r="D353" s="3" t="s">
        <v>3595</v>
      </c>
      <c r="E353" s="2" t="s">
        <v>103</v>
      </c>
      <c r="F353" s="2" t="s">
        <v>43</v>
      </c>
      <c r="G353" s="3" t="s">
        <v>3596</v>
      </c>
      <c r="H353" s="2" t="s">
        <v>3597</v>
      </c>
      <c r="I353" s="3" t="s">
        <v>29</v>
      </c>
      <c r="J353" s="3" t="s">
        <v>3598</v>
      </c>
      <c r="K353" s="3" t="s">
        <v>95</v>
      </c>
      <c r="L353" s="3" t="s">
        <v>108</v>
      </c>
      <c r="M353" s="3" t="s">
        <v>3599</v>
      </c>
      <c r="N353" s="3" t="s">
        <v>3600</v>
      </c>
      <c r="O353" s="3" t="s">
        <v>3601</v>
      </c>
      <c r="P353" s="3" t="s">
        <v>3602</v>
      </c>
      <c r="Q353" s="3" t="s">
        <v>3603</v>
      </c>
      <c r="R353" s="3" t="s">
        <v>3603</v>
      </c>
      <c r="S353" s="2" t="s">
        <v>38</v>
      </c>
      <c r="T353" s="2" t="s">
        <v>39</v>
      </c>
      <c r="U353" s="2" t="s">
        <v>40</v>
      </c>
      <c r="V353" s="3"/>
    </row>
    <row r="354" spans="1:22">
      <c r="A354" s="2">
        <v>353</v>
      </c>
      <c r="B354" s="3" t="s">
        <v>3583</v>
      </c>
      <c r="C354" s="3" t="s">
        <v>3604</v>
      </c>
      <c r="D354" s="3" t="s">
        <v>3605</v>
      </c>
      <c r="E354" s="2" t="s">
        <v>537</v>
      </c>
      <c r="F354" s="2" t="s">
        <v>26</v>
      </c>
      <c r="G354" s="3" t="s">
        <v>3606</v>
      </c>
      <c r="H354" s="2" t="s">
        <v>3607</v>
      </c>
      <c r="I354" s="3" t="s">
        <v>29</v>
      </c>
      <c r="J354" s="3" t="s">
        <v>3608</v>
      </c>
      <c r="K354" s="3" t="s">
        <v>47</v>
      </c>
      <c r="L354" s="3" t="s">
        <v>167</v>
      </c>
      <c r="M354" s="3" t="s">
        <v>3609</v>
      </c>
      <c r="N354" s="3" t="s">
        <v>3610</v>
      </c>
      <c r="O354" s="3" t="s">
        <v>3611</v>
      </c>
      <c r="P354" s="3" t="s">
        <v>3612</v>
      </c>
      <c r="Q354" s="3" t="s">
        <v>3613</v>
      </c>
      <c r="R354" s="3" t="s">
        <v>3613</v>
      </c>
      <c r="S354" s="2" t="s">
        <v>38</v>
      </c>
      <c r="T354" s="2" t="s">
        <v>39</v>
      </c>
      <c r="U354" s="2" t="s">
        <v>40</v>
      </c>
      <c r="V354" s="3"/>
    </row>
    <row r="355" spans="1:22">
      <c r="A355" s="2">
        <v>354</v>
      </c>
      <c r="B355" s="3" t="s">
        <v>3583</v>
      </c>
      <c r="C355" s="3" t="s">
        <v>3614</v>
      </c>
      <c r="D355" s="3" t="s">
        <v>3615</v>
      </c>
      <c r="E355" s="2" t="s">
        <v>69</v>
      </c>
      <c r="F355" s="2" t="s">
        <v>26</v>
      </c>
      <c r="G355" s="3" t="s">
        <v>3616</v>
      </c>
      <c r="H355" s="2" t="s">
        <v>3617</v>
      </c>
      <c r="I355" s="3" t="s">
        <v>29</v>
      </c>
      <c r="J355" s="3" t="s">
        <v>3618</v>
      </c>
      <c r="K355" s="3" t="s">
        <v>47</v>
      </c>
      <c r="L355" s="3" t="s">
        <v>293</v>
      </c>
      <c r="M355" s="3" t="s">
        <v>3619</v>
      </c>
      <c r="N355" s="3" t="s">
        <v>3620</v>
      </c>
      <c r="O355" s="3" t="s">
        <v>3621</v>
      </c>
      <c r="P355" s="3" t="s">
        <v>3622</v>
      </c>
      <c r="Q355" s="3" t="s">
        <v>3623</v>
      </c>
      <c r="R355" s="3" t="s">
        <v>3623</v>
      </c>
      <c r="S355" s="2" t="s">
        <v>38</v>
      </c>
      <c r="T355" s="2" t="s">
        <v>39</v>
      </c>
      <c r="U355" s="2" t="s">
        <v>40</v>
      </c>
      <c r="V355" s="3"/>
    </row>
    <row r="356" spans="1:22">
      <c r="A356" s="2">
        <v>355</v>
      </c>
      <c r="B356" s="3" t="s">
        <v>3583</v>
      </c>
      <c r="C356" s="3" t="s">
        <v>3624</v>
      </c>
      <c r="D356" s="3" t="s">
        <v>3625</v>
      </c>
      <c r="E356" s="2" t="s">
        <v>69</v>
      </c>
      <c r="F356" s="2" t="s">
        <v>43</v>
      </c>
      <c r="G356" s="3" t="s">
        <v>3626</v>
      </c>
      <c r="H356" s="2" t="s">
        <v>3627</v>
      </c>
      <c r="I356" s="3" t="s">
        <v>29</v>
      </c>
      <c r="J356" s="3" t="s">
        <v>3628</v>
      </c>
      <c r="K356" s="3" t="s">
        <v>47</v>
      </c>
      <c r="L356" s="3" t="s">
        <v>108</v>
      </c>
      <c r="M356" s="3" t="s">
        <v>3629</v>
      </c>
      <c r="N356" s="3" t="s">
        <v>3630</v>
      </c>
      <c r="O356" s="3" t="s">
        <v>3631</v>
      </c>
      <c r="P356" s="3" t="s">
        <v>3632</v>
      </c>
      <c r="Q356" s="3" t="s">
        <v>3633</v>
      </c>
      <c r="R356" s="3" t="s">
        <v>3633</v>
      </c>
      <c r="S356" s="2" t="s">
        <v>38</v>
      </c>
      <c r="T356" s="2" t="s">
        <v>39</v>
      </c>
      <c r="U356" s="2" t="s">
        <v>40</v>
      </c>
      <c r="V356" s="3"/>
    </row>
    <row r="357" spans="1:22">
      <c r="A357" s="2">
        <v>356</v>
      </c>
      <c r="B357" s="3" t="s">
        <v>3583</v>
      </c>
      <c r="C357" s="3" t="s">
        <v>3634</v>
      </c>
      <c r="D357" s="3" t="s">
        <v>3635</v>
      </c>
      <c r="E357" s="2" t="s">
        <v>103</v>
      </c>
      <c r="F357" s="2" t="s">
        <v>26</v>
      </c>
      <c r="G357" s="3" t="s">
        <v>3636</v>
      </c>
      <c r="H357" s="2" t="s">
        <v>3637</v>
      </c>
      <c r="I357" s="3" t="s">
        <v>29</v>
      </c>
      <c r="J357" s="3" t="s">
        <v>3638</v>
      </c>
      <c r="K357" s="3" t="s">
        <v>47</v>
      </c>
      <c r="L357" s="3" t="s">
        <v>323</v>
      </c>
      <c r="M357" s="3" t="s">
        <v>3639</v>
      </c>
      <c r="N357" s="3" t="s">
        <v>3040</v>
      </c>
      <c r="O357" s="3" t="s">
        <v>3640</v>
      </c>
      <c r="P357" s="3" t="s">
        <v>3641</v>
      </c>
      <c r="Q357" s="3" t="s">
        <v>3642</v>
      </c>
      <c r="R357" s="3" t="s">
        <v>3642</v>
      </c>
      <c r="S357" s="2" t="s">
        <v>3054</v>
      </c>
      <c r="T357" s="2" t="s">
        <v>39</v>
      </c>
      <c r="U357" s="2" t="s">
        <v>40</v>
      </c>
      <c r="V357" s="3"/>
    </row>
    <row r="358" spans="1:22">
      <c r="A358" s="2">
        <v>357</v>
      </c>
      <c r="B358" s="3" t="s">
        <v>3583</v>
      </c>
      <c r="C358" s="3" t="s">
        <v>3643</v>
      </c>
      <c r="D358" s="3" t="s">
        <v>3644</v>
      </c>
      <c r="E358" s="2" t="s">
        <v>56</v>
      </c>
      <c r="F358" s="2" t="s">
        <v>26</v>
      </c>
      <c r="G358" s="3" t="s">
        <v>3645</v>
      </c>
      <c r="H358" s="2" t="s">
        <v>3646</v>
      </c>
      <c r="I358" s="3" t="s">
        <v>29</v>
      </c>
      <c r="J358" s="3" t="s">
        <v>3647</v>
      </c>
      <c r="K358" s="3" t="s">
        <v>107</v>
      </c>
      <c r="L358" s="3" t="s">
        <v>32</v>
      </c>
      <c r="M358" s="3" t="s">
        <v>3648</v>
      </c>
      <c r="N358" s="3" t="s">
        <v>3649</v>
      </c>
      <c r="O358" s="3" t="s">
        <v>3650</v>
      </c>
      <c r="P358" s="3" t="s">
        <v>3651</v>
      </c>
      <c r="Q358" s="3" t="s">
        <v>3652</v>
      </c>
      <c r="R358" s="3" t="s">
        <v>3652</v>
      </c>
      <c r="S358" s="2" t="s">
        <v>38</v>
      </c>
      <c r="T358" s="2" t="s">
        <v>39</v>
      </c>
      <c r="U358" s="2" t="s">
        <v>40</v>
      </c>
      <c r="V358" s="3"/>
    </row>
    <row r="359" spans="1:22">
      <c r="A359" s="2">
        <v>358</v>
      </c>
      <c r="B359" s="3" t="s">
        <v>3583</v>
      </c>
      <c r="C359" s="3" t="s">
        <v>3653</v>
      </c>
      <c r="D359" s="3" t="s">
        <v>3654</v>
      </c>
      <c r="E359" s="2" t="s">
        <v>69</v>
      </c>
      <c r="F359" s="2" t="s">
        <v>26</v>
      </c>
      <c r="G359" s="3" t="s">
        <v>3655</v>
      </c>
      <c r="H359" s="2" t="s">
        <v>3656</v>
      </c>
      <c r="I359" s="3" t="s">
        <v>29</v>
      </c>
      <c r="J359" s="3" t="s">
        <v>3657</v>
      </c>
      <c r="K359" s="3" t="s">
        <v>47</v>
      </c>
      <c r="L359" s="3" t="s">
        <v>132</v>
      </c>
      <c r="M359" s="3" t="s">
        <v>3658</v>
      </c>
      <c r="N359" s="3" t="s">
        <v>3659</v>
      </c>
      <c r="O359" s="3" t="s">
        <v>3660</v>
      </c>
      <c r="P359" s="3" t="s">
        <v>3661</v>
      </c>
      <c r="Q359" s="3" t="s">
        <v>3662</v>
      </c>
      <c r="R359" s="3" t="s">
        <v>3662</v>
      </c>
      <c r="S359" s="2" t="s">
        <v>38</v>
      </c>
      <c r="T359" s="2" t="s">
        <v>39</v>
      </c>
      <c r="U359" s="2" t="s">
        <v>40</v>
      </c>
      <c r="V359" s="3"/>
    </row>
    <row r="360" spans="1:22">
      <c r="A360" s="2">
        <v>359</v>
      </c>
      <c r="B360" s="3" t="s">
        <v>3583</v>
      </c>
      <c r="C360" s="3" t="s">
        <v>3663</v>
      </c>
      <c r="D360" s="3" t="s">
        <v>3664</v>
      </c>
      <c r="E360" s="2" t="s">
        <v>913</v>
      </c>
      <c r="F360" s="2" t="s">
        <v>26</v>
      </c>
      <c r="G360" s="3" t="s">
        <v>3665</v>
      </c>
      <c r="H360" s="2" t="s">
        <v>3666</v>
      </c>
      <c r="I360" s="3" t="s">
        <v>29</v>
      </c>
      <c r="J360" s="3" t="s">
        <v>3667</v>
      </c>
      <c r="K360" s="3" t="s">
        <v>47</v>
      </c>
      <c r="L360" s="3" t="s">
        <v>108</v>
      </c>
      <c r="M360" s="3" t="s">
        <v>3668</v>
      </c>
      <c r="N360" s="3" t="s">
        <v>3669</v>
      </c>
      <c r="O360" s="3" t="s">
        <v>3670</v>
      </c>
      <c r="P360" s="3" t="s">
        <v>3671</v>
      </c>
      <c r="Q360" s="3" t="s">
        <v>3672</v>
      </c>
      <c r="R360" s="3" t="s">
        <v>3672</v>
      </c>
      <c r="S360" s="2" t="s">
        <v>3054</v>
      </c>
      <c r="T360" s="2" t="s">
        <v>39</v>
      </c>
      <c r="U360" s="2" t="s">
        <v>40</v>
      </c>
      <c r="V360" s="3"/>
    </row>
    <row r="361" spans="1:22">
      <c r="A361" s="2">
        <v>360</v>
      </c>
      <c r="B361" s="3" t="s">
        <v>3583</v>
      </c>
      <c r="C361" s="3" t="s">
        <v>3673</v>
      </c>
      <c r="D361" s="3" t="s">
        <v>3674</v>
      </c>
      <c r="E361" s="2" t="s">
        <v>642</v>
      </c>
      <c r="F361" s="2" t="s">
        <v>26</v>
      </c>
      <c r="G361" s="3" t="s">
        <v>3675</v>
      </c>
      <c r="H361" s="2" t="s">
        <v>3676</v>
      </c>
      <c r="I361" s="3" t="s">
        <v>29</v>
      </c>
      <c r="J361" s="3" t="s">
        <v>3677</v>
      </c>
      <c r="K361" s="3" t="s">
        <v>47</v>
      </c>
      <c r="L361" s="3" t="s">
        <v>323</v>
      </c>
      <c r="M361" s="3" t="s">
        <v>3678</v>
      </c>
      <c r="N361" s="3" t="s">
        <v>3679</v>
      </c>
      <c r="O361" s="3" t="s">
        <v>3680</v>
      </c>
      <c r="P361" s="3" t="s">
        <v>3681</v>
      </c>
      <c r="Q361" s="3" t="s">
        <v>3682</v>
      </c>
      <c r="R361" s="3" t="s">
        <v>3682</v>
      </c>
      <c r="S361" s="2" t="s">
        <v>38</v>
      </c>
      <c r="T361" s="2" t="s">
        <v>39</v>
      </c>
      <c r="U361" s="2" t="s">
        <v>40</v>
      </c>
      <c r="V361" s="3"/>
    </row>
    <row r="362" spans="1:22">
      <c r="A362" s="2">
        <v>361</v>
      </c>
      <c r="B362" s="3" t="s">
        <v>3583</v>
      </c>
      <c r="C362" s="3" t="s">
        <v>3683</v>
      </c>
      <c r="D362" s="3" t="s">
        <v>3684</v>
      </c>
      <c r="E362" s="2" t="s">
        <v>621</v>
      </c>
      <c r="F362" s="2" t="s">
        <v>43</v>
      </c>
      <c r="G362" s="3" t="s">
        <v>3685</v>
      </c>
      <c r="H362" s="2" t="s">
        <v>3686</v>
      </c>
      <c r="I362" s="3" t="s">
        <v>29</v>
      </c>
      <c r="J362" s="3" t="s">
        <v>3687</v>
      </c>
      <c r="K362" s="3" t="s">
        <v>47</v>
      </c>
      <c r="L362" s="3" t="s">
        <v>167</v>
      </c>
      <c r="M362" s="3" t="s">
        <v>3688</v>
      </c>
      <c r="N362" s="3" t="s">
        <v>3689</v>
      </c>
      <c r="O362" s="3" t="s">
        <v>3690</v>
      </c>
      <c r="P362" s="3" t="s">
        <v>3691</v>
      </c>
      <c r="Q362" s="3" t="s">
        <v>3692</v>
      </c>
      <c r="R362" s="3" t="s">
        <v>3692</v>
      </c>
      <c r="S362" s="2" t="s">
        <v>38</v>
      </c>
      <c r="T362" s="2" t="s">
        <v>39</v>
      </c>
      <c r="U362" s="2" t="s">
        <v>40</v>
      </c>
      <c r="V362" s="3"/>
    </row>
    <row r="363" spans="1:22">
      <c r="A363" s="2">
        <v>362</v>
      </c>
      <c r="B363" s="3" t="s">
        <v>3583</v>
      </c>
      <c r="C363" s="3" t="s">
        <v>3693</v>
      </c>
      <c r="D363" s="3" t="s">
        <v>3694</v>
      </c>
      <c r="E363" s="2" t="s">
        <v>56</v>
      </c>
      <c r="F363" s="2" t="s">
        <v>26</v>
      </c>
      <c r="G363" s="3" t="s">
        <v>3695</v>
      </c>
      <c r="H363" s="2" t="s">
        <v>3696</v>
      </c>
      <c r="I363" s="3" t="s">
        <v>29</v>
      </c>
      <c r="J363" s="3" t="s">
        <v>3697</v>
      </c>
      <c r="K363" s="3" t="s">
        <v>47</v>
      </c>
      <c r="L363" s="3" t="s">
        <v>293</v>
      </c>
      <c r="M363" s="3" t="s">
        <v>3698</v>
      </c>
      <c r="N363" s="3" t="s">
        <v>3699</v>
      </c>
      <c r="O363" s="3" t="s">
        <v>3700</v>
      </c>
      <c r="P363" s="3" t="s">
        <v>3701</v>
      </c>
      <c r="Q363" s="3" t="s">
        <v>3702</v>
      </c>
      <c r="R363" s="3" t="s">
        <v>3702</v>
      </c>
      <c r="S363" s="2" t="s">
        <v>38</v>
      </c>
      <c r="T363" s="2" t="s">
        <v>39</v>
      </c>
      <c r="U363" s="2" t="s">
        <v>40</v>
      </c>
      <c r="V363" s="3"/>
    </row>
    <row r="364" spans="1:22">
      <c r="A364" s="2">
        <v>363</v>
      </c>
      <c r="B364" s="3" t="s">
        <v>3583</v>
      </c>
      <c r="C364" s="3" t="s">
        <v>3703</v>
      </c>
      <c r="D364" s="3" t="s">
        <v>3704</v>
      </c>
      <c r="E364" s="2" t="s">
        <v>116</v>
      </c>
      <c r="F364" s="2" t="s">
        <v>26</v>
      </c>
      <c r="G364" s="3" t="s">
        <v>3705</v>
      </c>
      <c r="H364" s="2" t="s">
        <v>3706</v>
      </c>
      <c r="I364" s="3" t="s">
        <v>29</v>
      </c>
      <c r="J364" s="3" t="s">
        <v>3707</v>
      </c>
      <c r="K364" s="3" t="s">
        <v>47</v>
      </c>
      <c r="L364" s="3" t="s">
        <v>132</v>
      </c>
      <c r="M364" s="3" t="s">
        <v>3708</v>
      </c>
      <c r="N364" s="3" t="s">
        <v>3709</v>
      </c>
      <c r="O364" s="3" t="s">
        <v>3710</v>
      </c>
      <c r="P364" s="3" t="s">
        <v>3711</v>
      </c>
      <c r="Q364" s="3" t="s">
        <v>3712</v>
      </c>
      <c r="R364" s="3" t="s">
        <v>3712</v>
      </c>
      <c r="S364" s="2" t="s">
        <v>38</v>
      </c>
      <c r="T364" s="2" t="s">
        <v>39</v>
      </c>
      <c r="U364" s="2" t="s">
        <v>40</v>
      </c>
      <c r="V364" s="3"/>
    </row>
    <row r="365" spans="1:22">
      <c r="A365" s="2">
        <v>364</v>
      </c>
      <c r="B365" s="3" t="s">
        <v>3583</v>
      </c>
      <c r="C365" s="3" t="s">
        <v>3713</v>
      </c>
      <c r="D365" s="3" t="s">
        <v>3714</v>
      </c>
      <c r="E365" s="2" t="s">
        <v>69</v>
      </c>
      <c r="F365" s="2" t="s">
        <v>26</v>
      </c>
      <c r="G365" s="3" t="s">
        <v>3715</v>
      </c>
      <c r="H365" s="2" t="s">
        <v>3716</v>
      </c>
      <c r="I365" s="3" t="s">
        <v>29</v>
      </c>
      <c r="J365" s="3" t="s">
        <v>3717</v>
      </c>
      <c r="K365" s="3" t="s">
        <v>261</v>
      </c>
      <c r="L365" s="3" t="s">
        <v>32</v>
      </c>
      <c r="M365" s="3" t="s">
        <v>3718</v>
      </c>
      <c r="N365" s="3" t="s">
        <v>3719</v>
      </c>
      <c r="O365" s="3" t="s">
        <v>3720</v>
      </c>
      <c r="P365" s="3" t="s">
        <v>3721</v>
      </c>
      <c r="Q365" s="3" t="s">
        <v>3722</v>
      </c>
      <c r="R365" s="3" t="s">
        <v>3722</v>
      </c>
      <c r="S365" s="2" t="s">
        <v>38</v>
      </c>
      <c r="T365" s="2" t="s">
        <v>39</v>
      </c>
      <c r="U365" s="2" t="s">
        <v>40</v>
      </c>
      <c r="V365" s="3"/>
    </row>
    <row r="366" spans="1:22">
      <c r="A366" s="2">
        <v>365</v>
      </c>
      <c r="B366" s="3" t="s">
        <v>3583</v>
      </c>
      <c r="C366" s="3" t="s">
        <v>3723</v>
      </c>
      <c r="D366" s="3" t="s">
        <v>3724</v>
      </c>
      <c r="E366" s="2" t="s">
        <v>621</v>
      </c>
      <c r="F366" s="2" t="s">
        <v>43</v>
      </c>
      <c r="G366" s="3" t="s">
        <v>3725</v>
      </c>
      <c r="H366" s="2" t="s">
        <v>3726</v>
      </c>
      <c r="I366" s="3" t="s">
        <v>29</v>
      </c>
      <c r="J366" s="3" t="s">
        <v>3727</v>
      </c>
      <c r="K366" s="3" t="s">
        <v>120</v>
      </c>
      <c r="L366" s="3" t="s">
        <v>156</v>
      </c>
      <c r="M366" s="3" t="s">
        <v>3728</v>
      </c>
      <c r="N366" s="3" t="s">
        <v>3729</v>
      </c>
      <c r="O366" s="3" t="s">
        <v>3730</v>
      </c>
      <c r="P366" s="3" t="s">
        <v>3731</v>
      </c>
      <c r="Q366" s="3" t="s">
        <v>3732</v>
      </c>
      <c r="R366" s="3" t="s">
        <v>3732</v>
      </c>
      <c r="S366" s="2" t="s">
        <v>38</v>
      </c>
      <c r="T366" s="2" t="s">
        <v>39</v>
      </c>
      <c r="U366" s="2" t="s">
        <v>40</v>
      </c>
      <c r="V366" s="3"/>
    </row>
    <row r="367" spans="1:22">
      <c r="A367" s="2">
        <v>366</v>
      </c>
      <c r="B367" s="3" t="s">
        <v>3583</v>
      </c>
      <c r="C367" s="3" t="s">
        <v>3733</v>
      </c>
      <c r="D367" s="3" t="s">
        <v>3734</v>
      </c>
      <c r="E367" s="2" t="s">
        <v>103</v>
      </c>
      <c r="F367" s="2" t="s">
        <v>26</v>
      </c>
      <c r="G367" s="3" t="s">
        <v>3735</v>
      </c>
      <c r="H367" s="2" t="s">
        <v>3736</v>
      </c>
      <c r="I367" s="3" t="s">
        <v>29</v>
      </c>
      <c r="J367" s="3" t="s">
        <v>3737</v>
      </c>
      <c r="K367" s="3" t="s">
        <v>47</v>
      </c>
      <c r="L367" s="3" t="s">
        <v>132</v>
      </c>
      <c r="M367" s="3" t="s">
        <v>3738</v>
      </c>
      <c r="N367" s="3" t="s">
        <v>3739</v>
      </c>
      <c r="O367" s="3" t="s">
        <v>3740</v>
      </c>
      <c r="P367" s="3" t="s">
        <v>3741</v>
      </c>
      <c r="Q367" s="3" t="s">
        <v>3742</v>
      </c>
      <c r="R367" s="3" t="s">
        <v>3742</v>
      </c>
      <c r="S367" s="2" t="s">
        <v>38</v>
      </c>
      <c r="T367" s="2" t="s">
        <v>39</v>
      </c>
      <c r="U367" s="2" t="s">
        <v>40</v>
      </c>
      <c r="V367" s="3"/>
    </row>
    <row r="368" spans="1:22">
      <c r="A368" s="2">
        <v>367</v>
      </c>
      <c r="B368" s="3" t="s">
        <v>3583</v>
      </c>
      <c r="C368" s="3" t="s">
        <v>3743</v>
      </c>
      <c r="D368" s="3" t="s">
        <v>3744</v>
      </c>
      <c r="E368" s="2" t="s">
        <v>621</v>
      </c>
      <c r="F368" s="2" t="s">
        <v>43</v>
      </c>
      <c r="G368" s="3" t="s">
        <v>3745</v>
      </c>
      <c r="H368" s="2" t="s">
        <v>3746</v>
      </c>
      <c r="I368" s="3" t="s">
        <v>29</v>
      </c>
      <c r="J368" s="3" t="s">
        <v>3747</v>
      </c>
      <c r="K368" s="3" t="s">
        <v>272</v>
      </c>
      <c r="L368" s="3" t="s">
        <v>156</v>
      </c>
      <c r="M368" s="3" t="s">
        <v>3748</v>
      </c>
      <c r="N368" s="3" t="s">
        <v>3749</v>
      </c>
      <c r="O368" s="3" t="s">
        <v>3750</v>
      </c>
      <c r="P368" s="3" t="s">
        <v>3751</v>
      </c>
      <c r="Q368" s="3" t="s">
        <v>3752</v>
      </c>
      <c r="R368" s="3" t="s">
        <v>3752</v>
      </c>
      <c r="S368" s="2" t="s">
        <v>38</v>
      </c>
      <c r="T368" s="2" t="s">
        <v>39</v>
      </c>
      <c r="U368" s="2" t="s">
        <v>40</v>
      </c>
      <c r="V368" s="3"/>
    </row>
    <row r="369" spans="1:22">
      <c r="A369" s="2">
        <v>368</v>
      </c>
      <c r="B369" s="3" t="s">
        <v>3583</v>
      </c>
      <c r="C369" s="3" t="s">
        <v>3753</v>
      </c>
      <c r="D369" s="3" t="s">
        <v>3754</v>
      </c>
      <c r="E369" s="2" t="s">
        <v>25</v>
      </c>
      <c r="F369" s="2" t="s">
        <v>26</v>
      </c>
      <c r="G369" s="3" t="s">
        <v>3755</v>
      </c>
      <c r="H369" s="2" t="s">
        <v>3756</v>
      </c>
      <c r="I369" s="3" t="s">
        <v>29</v>
      </c>
      <c r="J369" s="3" t="s">
        <v>3757</v>
      </c>
      <c r="K369" s="3" t="s">
        <v>272</v>
      </c>
      <c r="L369" s="3" t="s">
        <v>32</v>
      </c>
      <c r="M369" s="3" t="s">
        <v>3758</v>
      </c>
      <c r="N369" s="3" t="s">
        <v>3759</v>
      </c>
      <c r="O369" s="3" t="s">
        <v>3760</v>
      </c>
      <c r="P369" s="3" t="s">
        <v>3761</v>
      </c>
      <c r="Q369" s="3" t="s">
        <v>3762</v>
      </c>
      <c r="R369" s="3" t="s">
        <v>3762</v>
      </c>
      <c r="S369" s="2" t="s">
        <v>38</v>
      </c>
      <c r="T369" s="2" t="s">
        <v>39</v>
      </c>
      <c r="U369" s="2" t="s">
        <v>40</v>
      </c>
      <c r="V369" s="3"/>
    </row>
    <row r="370" spans="1:22">
      <c r="A370" s="2">
        <v>369</v>
      </c>
      <c r="B370" s="3" t="s">
        <v>3583</v>
      </c>
      <c r="C370" s="3" t="s">
        <v>3763</v>
      </c>
      <c r="D370" s="3" t="s">
        <v>3764</v>
      </c>
      <c r="E370" s="2" t="s">
        <v>185</v>
      </c>
      <c r="F370" s="2" t="s">
        <v>26</v>
      </c>
      <c r="G370" s="3" t="s">
        <v>3765</v>
      </c>
      <c r="H370" s="2" t="s">
        <v>3766</v>
      </c>
      <c r="I370" s="3" t="s">
        <v>29</v>
      </c>
      <c r="J370" s="3" t="s">
        <v>3767</v>
      </c>
      <c r="K370" s="3" t="s">
        <v>47</v>
      </c>
      <c r="L370" s="3" t="s">
        <v>167</v>
      </c>
      <c r="M370" s="3" t="s">
        <v>3768</v>
      </c>
      <c r="N370" s="3" t="s">
        <v>3769</v>
      </c>
      <c r="O370" s="3" t="s">
        <v>3770</v>
      </c>
      <c r="P370" s="3" t="s">
        <v>3771</v>
      </c>
      <c r="Q370" s="3" t="s">
        <v>3772</v>
      </c>
      <c r="R370" s="3" t="s">
        <v>3772</v>
      </c>
      <c r="S370" s="2" t="s">
        <v>38</v>
      </c>
      <c r="T370" s="2" t="s">
        <v>39</v>
      </c>
      <c r="U370" s="2" t="s">
        <v>40</v>
      </c>
      <c r="V370" s="3"/>
    </row>
    <row r="371" spans="1:22">
      <c r="A371" s="2">
        <v>370</v>
      </c>
      <c r="B371" s="3" t="s">
        <v>3583</v>
      </c>
      <c r="C371" s="3" t="s">
        <v>3773</v>
      </c>
      <c r="D371" s="3" t="s">
        <v>3774</v>
      </c>
      <c r="E371" s="2" t="s">
        <v>116</v>
      </c>
      <c r="F371" s="2" t="s">
        <v>26</v>
      </c>
      <c r="G371" s="3" t="s">
        <v>3775</v>
      </c>
      <c r="H371" s="2" t="s">
        <v>3776</v>
      </c>
      <c r="I371" s="3" t="s">
        <v>29</v>
      </c>
      <c r="J371" s="3" t="s">
        <v>3777</v>
      </c>
      <c r="K371" s="3" t="s">
        <v>47</v>
      </c>
      <c r="L371" s="3" t="s">
        <v>73</v>
      </c>
      <c r="M371" s="3" t="s">
        <v>3778</v>
      </c>
      <c r="N371" s="3" t="s">
        <v>3779</v>
      </c>
      <c r="O371" s="3" t="s">
        <v>3780</v>
      </c>
      <c r="P371" s="3" t="s">
        <v>3781</v>
      </c>
      <c r="Q371" s="3" t="s">
        <v>3782</v>
      </c>
      <c r="R371" s="3" t="s">
        <v>3782</v>
      </c>
      <c r="S371" s="2" t="s">
        <v>38</v>
      </c>
      <c r="T371" s="2" t="s">
        <v>39</v>
      </c>
      <c r="U371" s="2" t="s">
        <v>40</v>
      </c>
      <c r="V371" s="3"/>
    </row>
    <row r="372" spans="1:22">
      <c r="A372" s="2">
        <v>371</v>
      </c>
      <c r="B372" s="3" t="s">
        <v>3583</v>
      </c>
      <c r="C372" s="3" t="s">
        <v>3783</v>
      </c>
      <c r="D372" s="3" t="s">
        <v>3784</v>
      </c>
      <c r="E372" s="2" t="s">
        <v>351</v>
      </c>
      <c r="F372" s="2" t="s">
        <v>26</v>
      </c>
      <c r="G372" s="3" t="s">
        <v>3785</v>
      </c>
      <c r="H372" s="2" t="s">
        <v>3786</v>
      </c>
      <c r="I372" s="3" t="s">
        <v>29</v>
      </c>
      <c r="J372" s="3" t="s">
        <v>3787</v>
      </c>
      <c r="K372" s="3" t="s">
        <v>47</v>
      </c>
      <c r="L372" s="3" t="s">
        <v>167</v>
      </c>
      <c r="M372" s="3" t="s">
        <v>3788</v>
      </c>
      <c r="N372" s="3" t="s">
        <v>3789</v>
      </c>
      <c r="O372" s="3" t="s">
        <v>3790</v>
      </c>
      <c r="P372" s="3" t="s">
        <v>3791</v>
      </c>
      <c r="Q372" s="3" t="s">
        <v>3792</v>
      </c>
      <c r="R372" s="3" t="s">
        <v>3792</v>
      </c>
      <c r="S372" s="2" t="s">
        <v>38</v>
      </c>
      <c r="T372" s="2" t="s">
        <v>39</v>
      </c>
      <c r="U372" s="2" t="s">
        <v>40</v>
      </c>
      <c r="V372" s="3"/>
    </row>
    <row r="373" spans="1:22">
      <c r="A373" s="2">
        <v>372</v>
      </c>
      <c r="B373" s="3" t="s">
        <v>3583</v>
      </c>
      <c r="C373" s="3" t="s">
        <v>3793</v>
      </c>
      <c r="D373" s="3" t="s">
        <v>3794</v>
      </c>
      <c r="E373" s="2" t="s">
        <v>25</v>
      </c>
      <c r="F373" s="2" t="s">
        <v>43</v>
      </c>
      <c r="G373" s="3" t="s">
        <v>3795</v>
      </c>
      <c r="H373" s="2" t="s">
        <v>3796</v>
      </c>
      <c r="I373" s="3" t="s">
        <v>29</v>
      </c>
      <c r="J373" s="3" t="s">
        <v>3797</v>
      </c>
      <c r="K373" s="3" t="s">
        <v>47</v>
      </c>
      <c r="L373" s="3" t="s">
        <v>156</v>
      </c>
      <c r="M373" s="3" t="s">
        <v>3798</v>
      </c>
      <c r="N373" s="3" t="s">
        <v>3799</v>
      </c>
      <c r="O373" s="3" t="s">
        <v>3800</v>
      </c>
      <c r="P373" s="3" t="s">
        <v>3801</v>
      </c>
      <c r="Q373" s="3" t="s">
        <v>3802</v>
      </c>
      <c r="R373" s="3" t="s">
        <v>3802</v>
      </c>
      <c r="S373" s="2" t="s">
        <v>38</v>
      </c>
      <c r="T373" s="2" t="s">
        <v>39</v>
      </c>
      <c r="U373" s="2" t="s">
        <v>40</v>
      </c>
      <c r="V373" s="3"/>
    </row>
    <row r="374" spans="1:22">
      <c r="A374" s="2">
        <v>373</v>
      </c>
      <c r="B374" s="3" t="s">
        <v>3583</v>
      </c>
      <c r="C374" s="3" t="s">
        <v>3803</v>
      </c>
      <c r="D374" s="3" t="s">
        <v>3804</v>
      </c>
      <c r="E374" s="2" t="s">
        <v>140</v>
      </c>
      <c r="F374" s="2" t="s">
        <v>43</v>
      </c>
      <c r="G374" s="3" t="s">
        <v>3805</v>
      </c>
      <c r="H374" s="2" t="s">
        <v>3806</v>
      </c>
      <c r="I374" s="3" t="s">
        <v>29</v>
      </c>
      <c r="J374" s="3" t="s">
        <v>3807</v>
      </c>
      <c r="K374" s="3" t="s">
        <v>47</v>
      </c>
      <c r="L374" s="3" t="s">
        <v>132</v>
      </c>
      <c r="M374" s="3" t="s">
        <v>3808</v>
      </c>
      <c r="N374" s="3" t="s">
        <v>3809</v>
      </c>
      <c r="O374" s="3" t="s">
        <v>3810</v>
      </c>
      <c r="P374" s="3" t="s">
        <v>3811</v>
      </c>
      <c r="Q374" s="3" t="s">
        <v>3812</v>
      </c>
      <c r="R374" s="3" t="s">
        <v>3812</v>
      </c>
      <c r="S374" s="2" t="s">
        <v>38</v>
      </c>
      <c r="T374" s="2" t="s">
        <v>39</v>
      </c>
      <c r="U374" s="2" t="s">
        <v>40</v>
      </c>
      <c r="V374" s="3"/>
    </row>
    <row r="375" spans="1:22">
      <c r="A375" s="2">
        <v>374</v>
      </c>
      <c r="B375" s="3" t="s">
        <v>3583</v>
      </c>
      <c r="C375" s="3" t="s">
        <v>3813</v>
      </c>
      <c r="D375" s="3" t="s">
        <v>3814</v>
      </c>
      <c r="E375" s="2" t="s">
        <v>69</v>
      </c>
      <c r="F375" s="2" t="s">
        <v>43</v>
      </c>
      <c r="G375" s="3" t="s">
        <v>3815</v>
      </c>
      <c r="H375" s="2" t="s">
        <v>3816</v>
      </c>
      <c r="I375" s="3" t="s">
        <v>29</v>
      </c>
      <c r="J375" s="3" t="s">
        <v>3817</v>
      </c>
      <c r="K375" s="3" t="s">
        <v>47</v>
      </c>
      <c r="L375" s="3" t="s">
        <v>167</v>
      </c>
      <c r="M375" s="3" t="s">
        <v>3818</v>
      </c>
      <c r="N375" s="3" t="s">
        <v>3819</v>
      </c>
      <c r="O375" s="3" t="s">
        <v>3820</v>
      </c>
      <c r="P375" s="3" t="s">
        <v>3821</v>
      </c>
      <c r="Q375" s="3" t="s">
        <v>3822</v>
      </c>
      <c r="R375" s="3" t="s">
        <v>3822</v>
      </c>
      <c r="S375" s="2" t="s">
        <v>38</v>
      </c>
      <c r="T375" s="2" t="s">
        <v>39</v>
      </c>
      <c r="U375" s="2" t="s">
        <v>40</v>
      </c>
      <c r="V375" s="3"/>
    </row>
    <row r="376" spans="1:22">
      <c r="A376" s="2">
        <v>375</v>
      </c>
      <c r="B376" s="3" t="s">
        <v>3583</v>
      </c>
      <c r="C376" s="3" t="s">
        <v>3823</v>
      </c>
      <c r="D376" s="3" t="s">
        <v>3824</v>
      </c>
      <c r="E376" s="2" t="s">
        <v>103</v>
      </c>
      <c r="F376" s="2" t="s">
        <v>26</v>
      </c>
      <c r="G376" s="3" t="s">
        <v>3825</v>
      </c>
      <c r="H376" s="2" t="s">
        <v>3826</v>
      </c>
      <c r="I376" s="3" t="s">
        <v>29</v>
      </c>
      <c r="J376" s="3" t="s">
        <v>3827</v>
      </c>
      <c r="K376" s="3" t="s">
        <v>47</v>
      </c>
      <c r="L376" s="3" t="s">
        <v>323</v>
      </c>
      <c r="M376" s="3" t="s">
        <v>3828</v>
      </c>
      <c r="N376" s="3" t="s">
        <v>3829</v>
      </c>
      <c r="O376" s="3" t="s">
        <v>3830</v>
      </c>
      <c r="P376" s="3" t="s">
        <v>3831</v>
      </c>
      <c r="Q376" s="3" t="s">
        <v>3832</v>
      </c>
      <c r="R376" s="3" t="s">
        <v>3832</v>
      </c>
      <c r="S376" s="2" t="s">
        <v>3054</v>
      </c>
      <c r="T376" s="2" t="s">
        <v>39</v>
      </c>
      <c r="U376" s="2" t="s">
        <v>40</v>
      </c>
      <c r="V376" s="3"/>
    </row>
    <row r="377" spans="1:22">
      <c r="A377" s="2">
        <v>376</v>
      </c>
      <c r="B377" s="3" t="s">
        <v>3583</v>
      </c>
      <c r="C377" s="3" t="s">
        <v>3833</v>
      </c>
      <c r="D377" s="3" t="s">
        <v>3834</v>
      </c>
      <c r="E377" s="2" t="s">
        <v>206</v>
      </c>
      <c r="F377" s="2" t="s">
        <v>26</v>
      </c>
      <c r="G377" s="3" t="s">
        <v>3835</v>
      </c>
      <c r="H377" s="2" t="s">
        <v>3836</v>
      </c>
      <c r="I377" s="3" t="s">
        <v>29</v>
      </c>
      <c r="J377" s="3" t="s">
        <v>3837</v>
      </c>
      <c r="K377" s="3" t="s">
        <v>47</v>
      </c>
      <c r="L377" s="3" t="s">
        <v>132</v>
      </c>
      <c r="M377" s="3" t="s">
        <v>3838</v>
      </c>
      <c r="N377" s="3" t="s">
        <v>3839</v>
      </c>
      <c r="O377" s="3" t="s">
        <v>3840</v>
      </c>
      <c r="P377" s="3" t="s">
        <v>3841</v>
      </c>
      <c r="Q377" s="3" t="s">
        <v>3842</v>
      </c>
      <c r="R377" s="3" t="s">
        <v>3842</v>
      </c>
      <c r="S377" s="2" t="s">
        <v>38</v>
      </c>
      <c r="T377" s="2" t="s">
        <v>39</v>
      </c>
      <c r="U377" s="2" t="s">
        <v>40</v>
      </c>
      <c r="V377" s="3"/>
    </row>
    <row r="378" spans="1:22">
      <c r="A378" s="2">
        <v>377</v>
      </c>
      <c r="B378" s="3" t="s">
        <v>3583</v>
      </c>
      <c r="C378" s="3" t="s">
        <v>3843</v>
      </c>
      <c r="D378" s="3" t="s">
        <v>3844</v>
      </c>
      <c r="E378" s="2" t="s">
        <v>69</v>
      </c>
      <c r="F378" s="2" t="s">
        <v>26</v>
      </c>
      <c r="G378" s="3" t="s">
        <v>3845</v>
      </c>
      <c r="H378" s="2" t="s">
        <v>3846</v>
      </c>
      <c r="I378" s="3" t="s">
        <v>29</v>
      </c>
      <c r="J378" s="3" t="s">
        <v>3847</v>
      </c>
      <c r="K378" s="3" t="s">
        <v>47</v>
      </c>
      <c r="L378" s="3" t="s">
        <v>167</v>
      </c>
      <c r="M378" s="3" t="s">
        <v>3848</v>
      </c>
      <c r="N378" s="3" t="s">
        <v>3849</v>
      </c>
      <c r="O378" s="3" t="s">
        <v>3850</v>
      </c>
      <c r="P378" s="3" t="s">
        <v>3851</v>
      </c>
      <c r="Q378" s="3" t="s">
        <v>3852</v>
      </c>
      <c r="R378" s="3" t="s">
        <v>3852</v>
      </c>
      <c r="S378" s="2" t="s">
        <v>38</v>
      </c>
      <c r="T378" s="2" t="s">
        <v>39</v>
      </c>
      <c r="U378" s="2" t="s">
        <v>40</v>
      </c>
      <c r="V378" s="3"/>
    </row>
    <row r="379" spans="1:22">
      <c r="A379" s="2">
        <v>378</v>
      </c>
      <c r="B379" s="3" t="s">
        <v>3583</v>
      </c>
      <c r="C379" s="3" t="s">
        <v>3853</v>
      </c>
      <c r="D379" s="3" t="s">
        <v>3854</v>
      </c>
      <c r="E379" s="2" t="s">
        <v>206</v>
      </c>
      <c r="F379" s="2" t="s">
        <v>43</v>
      </c>
      <c r="G379" s="3" t="s">
        <v>3855</v>
      </c>
      <c r="H379" s="2" t="s">
        <v>3856</v>
      </c>
      <c r="I379" s="3" t="s">
        <v>29</v>
      </c>
      <c r="J379" s="3" t="s">
        <v>3857</v>
      </c>
      <c r="K379" s="3" t="s">
        <v>107</v>
      </c>
      <c r="L379" s="3" t="s">
        <v>32</v>
      </c>
      <c r="M379" s="3" t="s">
        <v>3858</v>
      </c>
      <c r="N379" s="3" t="s">
        <v>3859</v>
      </c>
      <c r="O379" s="3" t="s">
        <v>3860</v>
      </c>
      <c r="P379" s="3" t="s">
        <v>3861</v>
      </c>
      <c r="Q379" s="3" t="s">
        <v>3862</v>
      </c>
      <c r="R379" s="3" t="s">
        <v>3862</v>
      </c>
      <c r="S379" s="2" t="s">
        <v>38</v>
      </c>
      <c r="T379" s="2" t="s">
        <v>39</v>
      </c>
      <c r="U379" s="2" t="s">
        <v>40</v>
      </c>
      <c r="V379" s="3"/>
    </row>
    <row r="380" spans="1:22">
      <c r="A380" s="2">
        <v>379</v>
      </c>
      <c r="B380" s="3" t="s">
        <v>3583</v>
      </c>
      <c r="C380" s="3" t="s">
        <v>3863</v>
      </c>
      <c r="D380" s="3" t="s">
        <v>3864</v>
      </c>
      <c r="E380" s="2" t="s">
        <v>25</v>
      </c>
      <c r="F380" s="2" t="s">
        <v>43</v>
      </c>
      <c r="G380" s="3" t="s">
        <v>3865</v>
      </c>
      <c r="H380" s="2" t="s">
        <v>3866</v>
      </c>
      <c r="I380" s="3" t="s">
        <v>29</v>
      </c>
      <c r="J380" s="3" t="s">
        <v>3867</v>
      </c>
      <c r="K380" s="3" t="s">
        <v>47</v>
      </c>
      <c r="L380" s="3" t="s">
        <v>145</v>
      </c>
      <c r="M380" s="3" t="s">
        <v>3868</v>
      </c>
      <c r="N380" s="3" t="s">
        <v>3869</v>
      </c>
      <c r="O380" s="3" t="s">
        <v>3870</v>
      </c>
      <c r="P380" s="3" t="s">
        <v>3871</v>
      </c>
      <c r="Q380" s="3" t="s">
        <v>3872</v>
      </c>
      <c r="R380" s="3" t="s">
        <v>3872</v>
      </c>
      <c r="S380" s="2" t="s">
        <v>38</v>
      </c>
      <c r="T380" s="2" t="s">
        <v>39</v>
      </c>
      <c r="U380" s="2" t="s">
        <v>40</v>
      </c>
      <c r="V380" s="3"/>
    </row>
    <row r="381" spans="1:22">
      <c r="A381" s="2">
        <v>380</v>
      </c>
      <c r="B381" s="3" t="s">
        <v>3583</v>
      </c>
      <c r="C381" s="3" t="s">
        <v>3873</v>
      </c>
      <c r="D381" s="3" t="s">
        <v>3874</v>
      </c>
      <c r="E381" s="2" t="s">
        <v>69</v>
      </c>
      <c r="F381" s="2" t="s">
        <v>26</v>
      </c>
      <c r="G381" s="3" t="s">
        <v>3875</v>
      </c>
      <c r="H381" s="2" t="s">
        <v>3876</v>
      </c>
      <c r="I381" s="3" t="s">
        <v>29</v>
      </c>
      <c r="J381" s="3" t="s">
        <v>3877</v>
      </c>
      <c r="K381" s="3" t="s">
        <v>47</v>
      </c>
      <c r="L381" s="3" t="s">
        <v>132</v>
      </c>
      <c r="M381" s="3" t="s">
        <v>3878</v>
      </c>
      <c r="N381" s="3" t="s">
        <v>3879</v>
      </c>
      <c r="O381" s="3" t="s">
        <v>3880</v>
      </c>
      <c r="P381" s="3" t="s">
        <v>3881</v>
      </c>
      <c r="Q381" s="3" t="s">
        <v>3882</v>
      </c>
      <c r="R381" s="3" t="s">
        <v>3882</v>
      </c>
      <c r="S381" s="2" t="s">
        <v>38</v>
      </c>
      <c r="T381" s="2" t="s">
        <v>39</v>
      </c>
      <c r="U381" s="2" t="s">
        <v>40</v>
      </c>
      <c r="V381" s="3"/>
    </row>
    <row r="382" spans="1:22">
      <c r="A382" s="2">
        <v>381</v>
      </c>
      <c r="B382" s="3" t="s">
        <v>3583</v>
      </c>
      <c r="C382" s="3" t="s">
        <v>3883</v>
      </c>
      <c r="D382" s="3" t="s">
        <v>3884</v>
      </c>
      <c r="E382" s="2" t="s">
        <v>116</v>
      </c>
      <c r="F382" s="2" t="s">
        <v>26</v>
      </c>
      <c r="G382" s="3" t="s">
        <v>3885</v>
      </c>
      <c r="H382" s="2" t="s">
        <v>3886</v>
      </c>
      <c r="I382" s="3" t="s">
        <v>29</v>
      </c>
      <c r="J382" s="3" t="s">
        <v>3887</v>
      </c>
      <c r="K382" s="3" t="s">
        <v>47</v>
      </c>
      <c r="L382" s="3" t="s">
        <v>293</v>
      </c>
      <c r="M382" s="3" t="s">
        <v>3888</v>
      </c>
      <c r="N382" s="3" t="s">
        <v>3889</v>
      </c>
      <c r="O382" s="3" t="s">
        <v>3890</v>
      </c>
      <c r="P382" s="3" t="s">
        <v>3891</v>
      </c>
      <c r="Q382" s="3" t="s">
        <v>3892</v>
      </c>
      <c r="R382" s="3" t="s">
        <v>3892</v>
      </c>
      <c r="S382" s="2" t="s">
        <v>38</v>
      </c>
      <c r="T382" s="2" t="s">
        <v>39</v>
      </c>
      <c r="U382" s="2" t="s">
        <v>40</v>
      </c>
      <c r="V382" s="3"/>
    </row>
    <row r="383" spans="1:22">
      <c r="A383" s="2">
        <v>382</v>
      </c>
      <c r="B383" s="3" t="s">
        <v>3583</v>
      </c>
      <c r="C383" s="3" t="s">
        <v>3893</v>
      </c>
      <c r="D383" s="3" t="s">
        <v>3894</v>
      </c>
      <c r="E383" s="2" t="s">
        <v>404</v>
      </c>
      <c r="F383" s="2" t="s">
        <v>26</v>
      </c>
      <c r="G383" s="3" t="s">
        <v>3895</v>
      </c>
      <c r="H383" s="2" t="s">
        <v>3896</v>
      </c>
      <c r="I383" s="3" t="s">
        <v>29</v>
      </c>
      <c r="J383" s="3" t="s">
        <v>3897</v>
      </c>
      <c r="K383" s="3" t="s">
        <v>31</v>
      </c>
      <c r="L383" s="3" t="s">
        <v>293</v>
      </c>
      <c r="M383" s="3" t="s">
        <v>3898</v>
      </c>
      <c r="N383" s="3" t="s">
        <v>3899</v>
      </c>
      <c r="O383" s="3" t="s">
        <v>3900</v>
      </c>
      <c r="P383" s="3" t="s">
        <v>3901</v>
      </c>
      <c r="Q383" s="3" t="s">
        <v>3902</v>
      </c>
      <c r="R383" s="3" t="s">
        <v>3902</v>
      </c>
      <c r="S383" s="2" t="s">
        <v>38</v>
      </c>
      <c r="T383" s="2" t="s">
        <v>39</v>
      </c>
      <c r="U383" s="2" t="s">
        <v>40</v>
      </c>
      <c r="V383" s="3"/>
    </row>
    <row r="384" spans="1:22">
      <c r="A384" s="2">
        <v>383</v>
      </c>
      <c r="B384" s="3" t="s">
        <v>3583</v>
      </c>
      <c r="C384" s="3" t="s">
        <v>3903</v>
      </c>
      <c r="D384" s="3" t="s">
        <v>3904</v>
      </c>
      <c r="E384" s="2" t="s">
        <v>69</v>
      </c>
      <c r="F384" s="2" t="s">
        <v>43</v>
      </c>
      <c r="G384" s="3" t="s">
        <v>3905</v>
      </c>
      <c r="H384" s="2" t="s">
        <v>3906</v>
      </c>
      <c r="I384" s="3" t="s">
        <v>29</v>
      </c>
      <c r="J384" s="3" t="s">
        <v>3907</v>
      </c>
      <c r="K384" s="3" t="s">
        <v>47</v>
      </c>
      <c r="L384" s="3" t="s">
        <v>323</v>
      </c>
      <c r="M384" s="3" t="s">
        <v>3908</v>
      </c>
      <c r="N384" s="3" t="s">
        <v>3909</v>
      </c>
      <c r="O384" s="3" t="s">
        <v>3910</v>
      </c>
      <c r="P384" s="3" t="s">
        <v>3911</v>
      </c>
      <c r="Q384" s="3" t="s">
        <v>3912</v>
      </c>
      <c r="R384" s="3" t="s">
        <v>3912</v>
      </c>
      <c r="S384" s="2" t="s">
        <v>38</v>
      </c>
      <c r="T384" s="2" t="s">
        <v>39</v>
      </c>
      <c r="U384" s="2" t="s">
        <v>40</v>
      </c>
      <c r="V384" s="3"/>
    </row>
    <row r="385" spans="1:22">
      <c r="A385" s="2">
        <v>384</v>
      </c>
      <c r="B385" s="3" t="s">
        <v>3583</v>
      </c>
      <c r="C385" s="3" t="s">
        <v>3913</v>
      </c>
      <c r="D385" s="3" t="s">
        <v>3914</v>
      </c>
      <c r="E385" s="2" t="s">
        <v>69</v>
      </c>
      <c r="F385" s="2" t="s">
        <v>26</v>
      </c>
      <c r="G385" s="3" t="s">
        <v>3915</v>
      </c>
      <c r="H385" s="2" t="s">
        <v>3916</v>
      </c>
      <c r="I385" s="3" t="s">
        <v>29</v>
      </c>
      <c r="J385" s="3" t="s">
        <v>3917</v>
      </c>
      <c r="K385" s="3" t="s">
        <v>47</v>
      </c>
      <c r="L385" s="3" t="s">
        <v>167</v>
      </c>
      <c r="M385" s="3" t="s">
        <v>3918</v>
      </c>
      <c r="N385" s="3" t="s">
        <v>3919</v>
      </c>
      <c r="O385" s="3" t="s">
        <v>3920</v>
      </c>
      <c r="P385" s="3" t="s">
        <v>3921</v>
      </c>
      <c r="Q385" s="3" t="s">
        <v>3922</v>
      </c>
      <c r="R385" s="3" t="s">
        <v>3922</v>
      </c>
      <c r="S385" s="2" t="s">
        <v>38</v>
      </c>
      <c r="T385" s="2" t="s">
        <v>39</v>
      </c>
      <c r="U385" s="2" t="s">
        <v>40</v>
      </c>
      <c r="V385" s="3"/>
    </row>
    <row r="386" spans="1:22">
      <c r="A386" s="2">
        <v>385</v>
      </c>
      <c r="B386" s="3" t="s">
        <v>3583</v>
      </c>
      <c r="C386" s="3" t="s">
        <v>3923</v>
      </c>
      <c r="D386" s="3" t="s">
        <v>3924</v>
      </c>
      <c r="E386" s="2" t="s">
        <v>103</v>
      </c>
      <c r="F386" s="2" t="s">
        <v>26</v>
      </c>
      <c r="G386" s="3" t="s">
        <v>3925</v>
      </c>
      <c r="H386" s="2" t="s">
        <v>3926</v>
      </c>
      <c r="I386" s="3" t="s">
        <v>29</v>
      </c>
      <c r="J386" s="3" t="s">
        <v>3927</v>
      </c>
      <c r="K386" s="3" t="s">
        <v>47</v>
      </c>
      <c r="L386" s="3" t="s">
        <v>293</v>
      </c>
      <c r="M386" s="3" t="s">
        <v>3928</v>
      </c>
      <c r="N386" s="3" t="s">
        <v>2808</v>
      </c>
      <c r="O386" s="3" t="s">
        <v>3929</v>
      </c>
      <c r="P386" s="3" t="s">
        <v>3930</v>
      </c>
      <c r="Q386" s="3" t="s">
        <v>3931</v>
      </c>
      <c r="R386" s="3" t="s">
        <v>3931</v>
      </c>
      <c r="S386" s="2" t="s">
        <v>3054</v>
      </c>
      <c r="T386" s="2" t="s">
        <v>39</v>
      </c>
      <c r="U386" s="2" t="s">
        <v>40</v>
      </c>
      <c r="V386" s="3"/>
    </row>
    <row r="387" spans="1:22">
      <c r="A387" s="2">
        <v>386</v>
      </c>
      <c r="B387" s="3" t="s">
        <v>3583</v>
      </c>
      <c r="C387" s="3" t="s">
        <v>3932</v>
      </c>
      <c r="D387" s="3" t="s">
        <v>3933</v>
      </c>
      <c r="E387" s="2" t="s">
        <v>913</v>
      </c>
      <c r="F387" s="2" t="s">
        <v>26</v>
      </c>
      <c r="G387" s="3" t="s">
        <v>3934</v>
      </c>
      <c r="H387" s="2" t="s">
        <v>3935</v>
      </c>
      <c r="I387" s="3" t="s">
        <v>29</v>
      </c>
      <c r="J387" s="3" t="s">
        <v>3936</v>
      </c>
      <c r="K387" s="3" t="s">
        <v>107</v>
      </c>
      <c r="L387" s="3" t="s">
        <v>32</v>
      </c>
      <c r="M387" s="3" t="s">
        <v>3937</v>
      </c>
      <c r="N387" s="3" t="s">
        <v>3938</v>
      </c>
      <c r="O387" s="3" t="s">
        <v>3939</v>
      </c>
      <c r="P387" s="3" t="s">
        <v>3940</v>
      </c>
      <c r="Q387" s="3" t="s">
        <v>3941</v>
      </c>
      <c r="R387" s="3" t="s">
        <v>3941</v>
      </c>
      <c r="S387" s="2" t="s">
        <v>3054</v>
      </c>
      <c r="T387" s="2" t="s">
        <v>39</v>
      </c>
      <c r="U387" s="2" t="s">
        <v>40</v>
      </c>
      <c r="V387" s="3"/>
    </row>
    <row r="388" spans="1:22">
      <c r="A388" s="2">
        <v>387</v>
      </c>
      <c r="B388" s="3" t="s">
        <v>3583</v>
      </c>
      <c r="C388" s="3" t="s">
        <v>3942</v>
      </c>
      <c r="D388" s="3" t="s">
        <v>3943</v>
      </c>
      <c r="E388" s="2" t="s">
        <v>621</v>
      </c>
      <c r="F388" s="2" t="s">
        <v>43</v>
      </c>
      <c r="G388" s="3" t="s">
        <v>3944</v>
      </c>
      <c r="H388" s="2" t="s">
        <v>3945</v>
      </c>
      <c r="I388" s="3" t="s">
        <v>29</v>
      </c>
      <c r="J388" s="3" t="s">
        <v>3946</v>
      </c>
      <c r="K388" s="3" t="s">
        <v>47</v>
      </c>
      <c r="L388" s="3" t="s">
        <v>167</v>
      </c>
      <c r="M388" s="3" t="s">
        <v>3947</v>
      </c>
      <c r="N388" s="3" t="s">
        <v>3948</v>
      </c>
      <c r="O388" s="3" t="s">
        <v>3949</v>
      </c>
      <c r="P388" s="3" t="s">
        <v>3950</v>
      </c>
      <c r="Q388" s="3" t="s">
        <v>3951</v>
      </c>
      <c r="R388" s="3" t="s">
        <v>3951</v>
      </c>
      <c r="S388" s="2" t="s">
        <v>38</v>
      </c>
      <c r="T388" s="2" t="s">
        <v>39</v>
      </c>
      <c r="U388" s="2" t="s">
        <v>40</v>
      </c>
      <c r="V388" s="3"/>
    </row>
    <row r="389" spans="1:22">
      <c r="A389" s="2">
        <v>388</v>
      </c>
      <c r="B389" s="3" t="s">
        <v>3583</v>
      </c>
      <c r="C389" s="3" t="s">
        <v>3952</v>
      </c>
      <c r="D389" s="3" t="s">
        <v>3953</v>
      </c>
      <c r="E389" s="2" t="s">
        <v>506</v>
      </c>
      <c r="F389" s="2" t="s">
        <v>43</v>
      </c>
      <c r="G389" s="3" t="s">
        <v>3954</v>
      </c>
      <c r="H389" s="2" t="s">
        <v>3955</v>
      </c>
      <c r="I389" s="3" t="s">
        <v>29</v>
      </c>
      <c r="J389" s="3" t="s">
        <v>3956</v>
      </c>
      <c r="K389" s="3" t="s">
        <v>47</v>
      </c>
      <c r="L389" s="3" t="s">
        <v>448</v>
      </c>
      <c r="M389" s="3" t="s">
        <v>3957</v>
      </c>
      <c r="N389" s="3" t="s">
        <v>3958</v>
      </c>
      <c r="O389" s="3" t="s">
        <v>3959</v>
      </c>
      <c r="P389" s="3" t="s">
        <v>3960</v>
      </c>
      <c r="Q389" s="3" t="s">
        <v>3961</v>
      </c>
      <c r="R389" s="3" t="s">
        <v>3961</v>
      </c>
      <c r="S389" s="2" t="s">
        <v>38</v>
      </c>
      <c r="T389" s="2" t="s">
        <v>39</v>
      </c>
      <c r="U389" s="2" t="s">
        <v>40</v>
      </c>
      <c r="V389" s="3"/>
    </row>
    <row r="390" spans="1:22">
      <c r="A390" s="2">
        <v>389</v>
      </c>
      <c r="B390" s="3" t="s">
        <v>3583</v>
      </c>
      <c r="C390" s="3" t="s">
        <v>3962</v>
      </c>
      <c r="D390" s="3" t="s">
        <v>3963</v>
      </c>
      <c r="E390" s="2" t="s">
        <v>103</v>
      </c>
      <c r="F390" s="2" t="s">
        <v>26</v>
      </c>
      <c r="G390" s="3" t="s">
        <v>3964</v>
      </c>
      <c r="H390" s="2" t="s">
        <v>3965</v>
      </c>
      <c r="I390" s="3" t="s">
        <v>29</v>
      </c>
      <c r="J390" s="3" t="s">
        <v>3966</v>
      </c>
      <c r="K390" s="3" t="s">
        <v>47</v>
      </c>
      <c r="L390" s="3" t="s">
        <v>108</v>
      </c>
      <c r="M390" s="3" t="s">
        <v>3967</v>
      </c>
      <c r="N390" s="3" t="s">
        <v>3968</v>
      </c>
      <c r="O390" s="3" t="s">
        <v>3969</v>
      </c>
      <c r="P390" s="3" t="s">
        <v>3970</v>
      </c>
      <c r="Q390" s="3" t="s">
        <v>3971</v>
      </c>
      <c r="R390" s="3" t="s">
        <v>3971</v>
      </c>
      <c r="S390" s="2" t="s">
        <v>38</v>
      </c>
      <c r="T390" s="2" t="s">
        <v>39</v>
      </c>
      <c r="U390" s="2" t="s">
        <v>40</v>
      </c>
      <c r="V390" s="3"/>
    </row>
    <row r="391" spans="1:22">
      <c r="A391" s="2">
        <v>390</v>
      </c>
      <c r="B391" s="3" t="s">
        <v>3583</v>
      </c>
      <c r="C391" s="3" t="s">
        <v>3972</v>
      </c>
      <c r="D391" s="3" t="s">
        <v>3973</v>
      </c>
      <c r="E391" s="2" t="s">
        <v>81</v>
      </c>
      <c r="F391" s="2" t="s">
        <v>26</v>
      </c>
      <c r="G391" s="3" t="s">
        <v>3974</v>
      </c>
      <c r="H391" s="2" t="s">
        <v>3975</v>
      </c>
      <c r="I391" s="3" t="s">
        <v>29</v>
      </c>
      <c r="J391" s="3" t="s">
        <v>3976</v>
      </c>
      <c r="K391" s="3" t="s">
        <v>47</v>
      </c>
      <c r="L391" s="3" t="s">
        <v>145</v>
      </c>
      <c r="M391" s="3" t="s">
        <v>3977</v>
      </c>
      <c r="N391" s="3" t="s">
        <v>3978</v>
      </c>
      <c r="O391" s="3" t="s">
        <v>3979</v>
      </c>
      <c r="P391" s="3" t="s">
        <v>3980</v>
      </c>
      <c r="Q391" s="3" t="s">
        <v>3981</v>
      </c>
      <c r="R391" s="3" t="s">
        <v>3981</v>
      </c>
      <c r="S391" s="2" t="s">
        <v>38</v>
      </c>
      <c r="T391" s="2" t="s">
        <v>39</v>
      </c>
      <c r="U391" s="2" t="s">
        <v>40</v>
      </c>
      <c r="V391" s="3"/>
    </row>
    <row r="392" spans="1:22">
      <c r="A392" s="2">
        <v>391</v>
      </c>
      <c r="B392" s="3" t="s">
        <v>3583</v>
      </c>
      <c r="C392" s="3" t="s">
        <v>3982</v>
      </c>
      <c r="D392" s="3" t="s">
        <v>3983</v>
      </c>
      <c r="E392" s="2" t="s">
        <v>69</v>
      </c>
      <c r="F392" s="2" t="s">
        <v>26</v>
      </c>
      <c r="G392" s="3" t="s">
        <v>3984</v>
      </c>
      <c r="H392" s="2" t="s">
        <v>3985</v>
      </c>
      <c r="I392" s="3" t="s">
        <v>29</v>
      </c>
      <c r="J392" s="3" t="s">
        <v>3986</v>
      </c>
      <c r="K392" s="3" t="s">
        <v>47</v>
      </c>
      <c r="L392" s="3" t="s">
        <v>3987</v>
      </c>
      <c r="M392" s="3" t="s">
        <v>3988</v>
      </c>
      <c r="N392" s="3" t="s">
        <v>3989</v>
      </c>
      <c r="O392" s="3" t="s">
        <v>3990</v>
      </c>
      <c r="P392" s="3" t="s">
        <v>3991</v>
      </c>
      <c r="Q392" s="3" t="s">
        <v>3992</v>
      </c>
      <c r="R392" s="3" t="s">
        <v>3992</v>
      </c>
      <c r="S392" s="2" t="s">
        <v>38</v>
      </c>
      <c r="T392" s="2" t="s">
        <v>39</v>
      </c>
      <c r="U392" s="2" t="s">
        <v>40</v>
      </c>
      <c r="V392" s="3"/>
    </row>
    <row r="393" spans="1:22">
      <c r="A393" s="2">
        <v>392</v>
      </c>
      <c r="B393" s="3" t="s">
        <v>3583</v>
      </c>
      <c r="C393" s="3" t="s">
        <v>3993</v>
      </c>
      <c r="D393" s="3" t="s">
        <v>3994</v>
      </c>
      <c r="E393" s="2" t="s">
        <v>116</v>
      </c>
      <c r="F393" s="2" t="s">
        <v>43</v>
      </c>
      <c r="G393" s="3" t="s">
        <v>3995</v>
      </c>
      <c r="H393" s="2" t="s">
        <v>3996</v>
      </c>
      <c r="I393" s="3" t="s">
        <v>29</v>
      </c>
      <c r="J393" s="3" t="s">
        <v>3997</v>
      </c>
      <c r="K393" s="3" t="s">
        <v>31</v>
      </c>
      <c r="L393" s="3" t="s">
        <v>167</v>
      </c>
      <c r="M393" s="3" t="s">
        <v>3998</v>
      </c>
      <c r="N393" s="3" t="s">
        <v>3999</v>
      </c>
      <c r="O393" s="3" t="s">
        <v>4000</v>
      </c>
      <c r="P393" s="3" t="s">
        <v>4001</v>
      </c>
      <c r="Q393" s="3" t="s">
        <v>4002</v>
      </c>
      <c r="R393" s="3" t="s">
        <v>4002</v>
      </c>
      <c r="S393" s="2" t="s">
        <v>38</v>
      </c>
      <c r="T393" s="2" t="s">
        <v>39</v>
      </c>
      <c r="U393" s="2" t="s">
        <v>40</v>
      </c>
      <c r="V393" s="3"/>
    </row>
    <row r="394" spans="1:22">
      <c r="A394" s="2">
        <v>393</v>
      </c>
      <c r="B394" s="3" t="s">
        <v>3583</v>
      </c>
      <c r="C394" s="3" t="s">
        <v>4003</v>
      </c>
      <c r="D394" s="3" t="s">
        <v>4004</v>
      </c>
      <c r="E394" s="2" t="s">
        <v>621</v>
      </c>
      <c r="F394" s="2" t="s">
        <v>26</v>
      </c>
      <c r="G394" s="3" t="s">
        <v>4005</v>
      </c>
      <c r="H394" s="2" t="s">
        <v>4006</v>
      </c>
      <c r="I394" s="3" t="s">
        <v>29</v>
      </c>
      <c r="J394" s="3" t="s">
        <v>4007</v>
      </c>
      <c r="K394" s="3" t="s">
        <v>47</v>
      </c>
      <c r="L394" s="3" t="s">
        <v>293</v>
      </c>
      <c r="M394" s="3" t="s">
        <v>4008</v>
      </c>
      <c r="N394" s="3" t="s">
        <v>4009</v>
      </c>
      <c r="O394" s="3" t="s">
        <v>4010</v>
      </c>
      <c r="P394" s="3" t="s">
        <v>4011</v>
      </c>
      <c r="Q394" s="3" t="s">
        <v>4012</v>
      </c>
      <c r="R394" s="3" t="s">
        <v>4012</v>
      </c>
      <c r="S394" s="2" t="s">
        <v>38</v>
      </c>
      <c r="T394" s="2" t="s">
        <v>39</v>
      </c>
      <c r="U394" s="2" t="s">
        <v>40</v>
      </c>
      <c r="V394" s="3"/>
    </row>
    <row r="395" spans="1:22">
      <c r="A395" s="2">
        <v>394</v>
      </c>
      <c r="B395" s="3" t="s">
        <v>3583</v>
      </c>
      <c r="C395" s="3" t="s">
        <v>4013</v>
      </c>
      <c r="D395" s="3" t="s">
        <v>4014</v>
      </c>
      <c r="E395" s="2" t="s">
        <v>404</v>
      </c>
      <c r="F395" s="2" t="s">
        <v>43</v>
      </c>
      <c r="G395" s="3" t="s">
        <v>4015</v>
      </c>
      <c r="H395" s="2" t="s">
        <v>4016</v>
      </c>
      <c r="I395" s="3" t="s">
        <v>29</v>
      </c>
      <c r="J395" s="3" t="s">
        <v>4017</v>
      </c>
      <c r="K395" s="3" t="s">
        <v>47</v>
      </c>
      <c r="L395" s="3" t="s">
        <v>293</v>
      </c>
      <c r="M395" s="3" t="s">
        <v>4018</v>
      </c>
      <c r="N395" s="3" t="s">
        <v>4019</v>
      </c>
      <c r="O395" s="3" t="s">
        <v>4020</v>
      </c>
      <c r="P395" s="3" t="s">
        <v>4021</v>
      </c>
      <c r="Q395" s="3" t="s">
        <v>4022</v>
      </c>
      <c r="R395" s="3" t="s">
        <v>4022</v>
      </c>
      <c r="S395" s="2" t="s">
        <v>38</v>
      </c>
      <c r="T395" s="2" t="s">
        <v>39</v>
      </c>
      <c r="U395" s="2" t="s">
        <v>40</v>
      </c>
      <c r="V395" s="3"/>
    </row>
    <row r="396" spans="1:22">
      <c r="A396" s="2">
        <v>395</v>
      </c>
      <c r="B396" s="3" t="s">
        <v>3583</v>
      </c>
      <c r="C396" s="3" t="s">
        <v>4023</v>
      </c>
      <c r="D396" s="3" t="s">
        <v>4024</v>
      </c>
      <c r="E396" s="2" t="s">
        <v>56</v>
      </c>
      <c r="F396" s="2" t="s">
        <v>26</v>
      </c>
      <c r="G396" s="3" t="s">
        <v>4025</v>
      </c>
      <c r="H396" s="2" t="s">
        <v>4026</v>
      </c>
      <c r="I396" s="3" t="s">
        <v>29</v>
      </c>
      <c r="J396" s="3" t="s">
        <v>4027</v>
      </c>
      <c r="K396" s="3" t="s">
        <v>47</v>
      </c>
      <c r="L396" s="3" t="s">
        <v>132</v>
      </c>
      <c r="M396" s="3" t="s">
        <v>4028</v>
      </c>
      <c r="N396" s="3" t="s">
        <v>4029</v>
      </c>
      <c r="O396" s="3" t="s">
        <v>4030</v>
      </c>
      <c r="P396" s="3" t="s">
        <v>4031</v>
      </c>
      <c r="Q396" s="3" t="s">
        <v>4032</v>
      </c>
      <c r="R396" s="3" t="s">
        <v>4032</v>
      </c>
      <c r="S396" s="2" t="s">
        <v>38</v>
      </c>
      <c r="T396" s="2" t="s">
        <v>39</v>
      </c>
      <c r="U396" s="2" t="s">
        <v>40</v>
      </c>
      <c r="V396" s="3"/>
    </row>
    <row r="397" spans="1:22">
      <c r="A397" s="2">
        <v>396</v>
      </c>
      <c r="B397" s="3" t="s">
        <v>3583</v>
      </c>
      <c r="C397" s="3" t="s">
        <v>4033</v>
      </c>
      <c r="D397" s="3" t="s">
        <v>4034</v>
      </c>
      <c r="E397" s="2" t="s">
        <v>913</v>
      </c>
      <c r="F397" s="2" t="s">
        <v>43</v>
      </c>
      <c r="G397" s="3" t="s">
        <v>4035</v>
      </c>
      <c r="H397" s="2" t="s">
        <v>4036</v>
      </c>
      <c r="I397" s="3" t="s">
        <v>29</v>
      </c>
      <c r="J397" s="3" t="s">
        <v>4037</v>
      </c>
      <c r="K397" s="3" t="s">
        <v>47</v>
      </c>
      <c r="L397" s="3" t="s">
        <v>167</v>
      </c>
      <c r="M397" s="3" t="s">
        <v>4038</v>
      </c>
      <c r="N397" s="3" t="s">
        <v>4039</v>
      </c>
      <c r="O397" s="3" t="s">
        <v>4040</v>
      </c>
      <c r="P397" s="3" t="s">
        <v>4041</v>
      </c>
      <c r="Q397" s="3" t="s">
        <v>4042</v>
      </c>
      <c r="R397" s="3" t="s">
        <v>4042</v>
      </c>
      <c r="S397" s="2" t="s">
        <v>3054</v>
      </c>
      <c r="T397" s="2" t="s">
        <v>39</v>
      </c>
      <c r="U397" s="2" t="s">
        <v>40</v>
      </c>
      <c r="V397" s="3"/>
    </row>
    <row r="398" spans="1:22">
      <c r="A398" s="2">
        <v>397</v>
      </c>
      <c r="B398" s="3" t="s">
        <v>3583</v>
      </c>
      <c r="C398" s="3" t="s">
        <v>4043</v>
      </c>
      <c r="D398" s="3" t="s">
        <v>4044</v>
      </c>
      <c r="E398" s="2" t="s">
        <v>257</v>
      </c>
      <c r="F398" s="2" t="s">
        <v>26</v>
      </c>
      <c r="G398" s="3" t="s">
        <v>4045</v>
      </c>
      <c r="H398" s="2" t="s">
        <v>4046</v>
      </c>
      <c r="I398" s="3" t="s">
        <v>29</v>
      </c>
      <c r="J398" s="3" t="s">
        <v>4047</v>
      </c>
      <c r="K398" s="3" t="s">
        <v>272</v>
      </c>
      <c r="L398" s="3" t="s">
        <v>293</v>
      </c>
      <c r="M398" s="3" t="s">
        <v>4048</v>
      </c>
      <c r="N398" s="3" t="s">
        <v>4049</v>
      </c>
      <c r="O398" s="3" t="s">
        <v>4050</v>
      </c>
      <c r="P398" s="3" t="s">
        <v>4051</v>
      </c>
      <c r="Q398" s="3" t="s">
        <v>4052</v>
      </c>
      <c r="R398" s="3" t="s">
        <v>4052</v>
      </c>
      <c r="S398" s="2" t="s">
        <v>3054</v>
      </c>
      <c r="T398" s="2" t="s">
        <v>39</v>
      </c>
      <c r="U398" s="2" t="s">
        <v>40</v>
      </c>
      <c r="V398" s="3"/>
    </row>
    <row r="399" spans="1:22">
      <c r="A399" s="2">
        <v>398</v>
      </c>
      <c r="B399" s="3" t="s">
        <v>3583</v>
      </c>
      <c r="C399" s="3" t="s">
        <v>4053</v>
      </c>
      <c r="D399" s="3" t="s">
        <v>4054</v>
      </c>
      <c r="E399" s="2" t="s">
        <v>257</v>
      </c>
      <c r="F399" s="2" t="s">
        <v>26</v>
      </c>
      <c r="G399" s="3" t="s">
        <v>4055</v>
      </c>
      <c r="H399" s="2" t="s">
        <v>4056</v>
      </c>
      <c r="I399" s="3" t="s">
        <v>29</v>
      </c>
      <c r="J399" s="3" t="s">
        <v>4057</v>
      </c>
      <c r="K399" s="3" t="s">
        <v>47</v>
      </c>
      <c r="L399" s="3" t="s">
        <v>132</v>
      </c>
      <c r="M399" s="3" t="s">
        <v>4058</v>
      </c>
      <c r="N399" s="3" t="s">
        <v>4059</v>
      </c>
      <c r="O399" s="3" t="s">
        <v>4060</v>
      </c>
      <c r="P399" s="3" t="s">
        <v>4061</v>
      </c>
      <c r="Q399" s="3" t="s">
        <v>4062</v>
      </c>
      <c r="R399" s="3" t="s">
        <v>4062</v>
      </c>
      <c r="S399" s="2" t="s">
        <v>3054</v>
      </c>
      <c r="T399" s="2" t="s">
        <v>39</v>
      </c>
      <c r="U399" s="2" t="s">
        <v>40</v>
      </c>
      <c r="V399" s="3"/>
    </row>
    <row r="400" spans="1:22">
      <c r="A400" s="2">
        <v>399</v>
      </c>
      <c r="B400" s="3" t="s">
        <v>3583</v>
      </c>
      <c r="C400" s="3" t="s">
        <v>4063</v>
      </c>
      <c r="D400" s="3" t="s">
        <v>4064</v>
      </c>
      <c r="E400" s="2" t="s">
        <v>116</v>
      </c>
      <c r="F400" s="2" t="s">
        <v>26</v>
      </c>
      <c r="G400" s="3" t="s">
        <v>4065</v>
      </c>
      <c r="H400" s="2" t="s">
        <v>4066</v>
      </c>
      <c r="I400" s="3" t="s">
        <v>29</v>
      </c>
      <c r="J400" s="3" t="s">
        <v>4067</v>
      </c>
      <c r="K400" s="3" t="s">
        <v>47</v>
      </c>
      <c r="L400" s="3" t="s">
        <v>293</v>
      </c>
      <c r="M400" s="3" t="s">
        <v>4068</v>
      </c>
      <c r="N400" s="3" t="s">
        <v>4069</v>
      </c>
      <c r="O400" s="3" t="s">
        <v>4070</v>
      </c>
      <c r="P400" s="3" t="s">
        <v>4071</v>
      </c>
      <c r="Q400" s="3" t="s">
        <v>4072</v>
      </c>
      <c r="R400" s="3" t="s">
        <v>4072</v>
      </c>
      <c r="S400" s="2" t="s">
        <v>3054</v>
      </c>
      <c r="T400" s="2" t="s">
        <v>39</v>
      </c>
      <c r="U400" s="2" t="s">
        <v>40</v>
      </c>
      <c r="V400" s="3"/>
    </row>
    <row r="401" spans="1:22">
      <c r="A401" s="2">
        <v>400</v>
      </c>
      <c r="B401" s="3" t="s">
        <v>3583</v>
      </c>
      <c r="C401" s="3" t="s">
        <v>4073</v>
      </c>
      <c r="D401" s="3" t="s">
        <v>4074</v>
      </c>
      <c r="E401" s="2" t="s">
        <v>506</v>
      </c>
      <c r="F401" s="2" t="s">
        <v>26</v>
      </c>
      <c r="G401" s="3" t="s">
        <v>4075</v>
      </c>
      <c r="H401" s="2" t="s">
        <v>4076</v>
      </c>
      <c r="I401" s="3" t="s">
        <v>29</v>
      </c>
      <c r="J401" s="3" t="s">
        <v>4077</v>
      </c>
      <c r="K401" s="3" t="s">
        <v>272</v>
      </c>
      <c r="L401" s="3" t="s">
        <v>167</v>
      </c>
      <c r="M401" s="3" t="s">
        <v>4078</v>
      </c>
      <c r="N401" s="3" t="s">
        <v>4079</v>
      </c>
      <c r="O401" s="3" t="s">
        <v>4080</v>
      </c>
      <c r="P401" s="3" t="s">
        <v>4081</v>
      </c>
      <c r="Q401" s="3" t="s">
        <v>4082</v>
      </c>
      <c r="R401" s="3" t="s">
        <v>4082</v>
      </c>
      <c r="S401" s="2" t="s">
        <v>3054</v>
      </c>
      <c r="T401" s="2" t="s">
        <v>39</v>
      </c>
      <c r="U401" s="2" t="s">
        <v>40</v>
      </c>
      <c r="V401" s="3"/>
    </row>
    <row r="402" spans="1:22">
      <c r="A402" s="2">
        <v>401</v>
      </c>
      <c r="B402" s="3" t="s">
        <v>4083</v>
      </c>
      <c r="C402" s="3" t="s">
        <v>4084</v>
      </c>
      <c r="D402" s="3" t="s">
        <v>4085</v>
      </c>
      <c r="E402" s="2" t="s">
        <v>257</v>
      </c>
      <c r="F402" s="2" t="s">
        <v>26</v>
      </c>
      <c r="G402" s="3" t="s">
        <v>4086</v>
      </c>
      <c r="H402" s="2" t="s">
        <v>4087</v>
      </c>
      <c r="I402" s="3" t="s">
        <v>29</v>
      </c>
      <c r="J402" s="3" t="s">
        <v>4088</v>
      </c>
      <c r="K402" s="3" t="s">
        <v>47</v>
      </c>
      <c r="L402" s="3" t="s">
        <v>167</v>
      </c>
      <c r="M402" s="3" t="s">
        <v>4089</v>
      </c>
      <c r="N402" s="3" t="s">
        <v>4090</v>
      </c>
      <c r="O402" s="3" t="s">
        <v>4091</v>
      </c>
      <c r="P402" s="3" t="s">
        <v>4092</v>
      </c>
      <c r="Q402" s="3" t="s">
        <v>4093</v>
      </c>
      <c r="R402" s="3" t="s">
        <v>4093</v>
      </c>
      <c r="S402" s="2" t="s">
        <v>3054</v>
      </c>
      <c r="T402" s="2" t="s">
        <v>39</v>
      </c>
      <c r="U402" s="2" t="s">
        <v>40</v>
      </c>
      <c r="V402" s="3"/>
    </row>
    <row r="403" spans="1:22">
      <c r="A403" s="2">
        <v>402</v>
      </c>
      <c r="B403" s="3" t="s">
        <v>4083</v>
      </c>
      <c r="C403" s="3" t="s">
        <v>4094</v>
      </c>
      <c r="D403" s="3" t="s">
        <v>4095</v>
      </c>
      <c r="E403" s="2" t="s">
        <v>69</v>
      </c>
      <c r="F403" s="2" t="s">
        <v>26</v>
      </c>
      <c r="G403" s="3" t="s">
        <v>4096</v>
      </c>
      <c r="H403" s="2" t="s">
        <v>4097</v>
      </c>
      <c r="I403" s="3" t="s">
        <v>29</v>
      </c>
      <c r="J403" s="3" t="s">
        <v>4098</v>
      </c>
      <c r="K403" s="3" t="s">
        <v>47</v>
      </c>
      <c r="L403" s="3" t="s">
        <v>167</v>
      </c>
      <c r="M403" s="3" t="s">
        <v>4099</v>
      </c>
      <c r="N403" s="3" t="s">
        <v>4100</v>
      </c>
      <c r="O403" s="3" t="s">
        <v>4101</v>
      </c>
      <c r="P403" s="3" t="s">
        <v>4102</v>
      </c>
      <c r="Q403" s="3" t="s">
        <v>4103</v>
      </c>
      <c r="R403" s="3" t="s">
        <v>4103</v>
      </c>
      <c r="S403" s="2" t="s">
        <v>3054</v>
      </c>
      <c r="T403" s="2" t="s">
        <v>39</v>
      </c>
      <c r="U403" s="2" t="s">
        <v>40</v>
      </c>
      <c r="V403" s="3"/>
    </row>
    <row r="404" spans="1:22">
      <c r="A404" s="2">
        <v>403</v>
      </c>
      <c r="B404" s="3" t="s">
        <v>4083</v>
      </c>
      <c r="C404" s="3" t="s">
        <v>4104</v>
      </c>
      <c r="D404" s="3" t="s">
        <v>4105</v>
      </c>
      <c r="E404" s="2" t="s">
        <v>103</v>
      </c>
      <c r="F404" s="2" t="s">
        <v>26</v>
      </c>
      <c r="G404" s="3" t="s">
        <v>4106</v>
      </c>
      <c r="H404" s="2" t="s">
        <v>4107</v>
      </c>
      <c r="I404" s="3" t="s">
        <v>29</v>
      </c>
      <c r="J404" s="3" t="s">
        <v>4108</v>
      </c>
      <c r="K404" s="3" t="s">
        <v>47</v>
      </c>
      <c r="L404" s="3" t="s">
        <v>293</v>
      </c>
      <c r="M404" s="3" t="s">
        <v>4109</v>
      </c>
      <c r="N404" s="3" t="s">
        <v>4110</v>
      </c>
      <c r="O404" s="3" t="s">
        <v>4111</v>
      </c>
      <c r="P404" s="3" t="s">
        <v>4112</v>
      </c>
      <c r="Q404" s="3" t="s">
        <v>4113</v>
      </c>
      <c r="R404" s="3" t="s">
        <v>4113</v>
      </c>
      <c r="S404" s="2" t="s">
        <v>3054</v>
      </c>
      <c r="T404" s="2" t="s">
        <v>39</v>
      </c>
      <c r="U404" s="2" t="s">
        <v>40</v>
      </c>
      <c r="V404" s="3"/>
    </row>
    <row r="405" spans="1:22">
      <c r="A405" s="2">
        <v>404</v>
      </c>
      <c r="B405" s="3" t="s">
        <v>4083</v>
      </c>
      <c r="C405" s="3" t="s">
        <v>4114</v>
      </c>
      <c r="D405" s="3" t="s">
        <v>4115</v>
      </c>
      <c r="E405" s="2" t="s">
        <v>69</v>
      </c>
      <c r="F405" s="2" t="s">
        <v>26</v>
      </c>
      <c r="G405" s="3" t="s">
        <v>4116</v>
      </c>
      <c r="H405" s="2" t="s">
        <v>4117</v>
      </c>
      <c r="I405" s="3" t="s">
        <v>29</v>
      </c>
      <c r="J405" s="3" t="s">
        <v>4118</v>
      </c>
      <c r="K405" s="3" t="s">
        <v>365</v>
      </c>
      <c r="L405" s="3" t="s">
        <v>61</v>
      </c>
      <c r="M405" s="3" t="s">
        <v>4119</v>
      </c>
      <c r="N405" s="3" t="s">
        <v>4120</v>
      </c>
      <c r="O405" s="3" t="s">
        <v>4121</v>
      </c>
      <c r="P405" s="3" t="s">
        <v>4122</v>
      </c>
      <c r="Q405" s="3" t="s">
        <v>4123</v>
      </c>
      <c r="R405" s="3" t="s">
        <v>4123</v>
      </c>
      <c r="S405" s="2" t="s">
        <v>3054</v>
      </c>
      <c r="T405" s="2" t="s">
        <v>39</v>
      </c>
      <c r="U405" s="2" t="s">
        <v>40</v>
      </c>
      <c r="V405" s="3"/>
    </row>
    <row r="406" spans="1:22">
      <c r="A406" s="2">
        <v>405</v>
      </c>
      <c r="B406" s="3" t="s">
        <v>4083</v>
      </c>
      <c r="C406" s="3" t="s">
        <v>4124</v>
      </c>
      <c r="D406" s="3" t="s">
        <v>4125</v>
      </c>
      <c r="E406" s="2" t="s">
        <v>103</v>
      </c>
      <c r="F406" s="2" t="s">
        <v>26</v>
      </c>
      <c r="G406" s="3" t="s">
        <v>4126</v>
      </c>
      <c r="H406" s="2" t="s">
        <v>4127</v>
      </c>
      <c r="I406" s="3" t="s">
        <v>29</v>
      </c>
      <c r="J406" s="3" t="s">
        <v>4128</v>
      </c>
      <c r="K406" s="3" t="s">
        <v>47</v>
      </c>
      <c r="L406" s="3" t="s">
        <v>32</v>
      </c>
      <c r="M406" s="3" t="s">
        <v>4129</v>
      </c>
      <c r="N406" s="3" t="s">
        <v>4130</v>
      </c>
      <c r="O406" s="3" t="s">
        <v>4131</v>
      </c>
      <c r="P406" s="3" t="s">
        <v>4132</v>
      </c>
      <c r="Q406" s="3" t="s">
        <v>4133</v>
      </c>
      <c r="R406" s="3" t="s">
        <v>4133</v>
      </c>
      <c r="S406" s="2" t="s">
        <v>3054</v>
      </c>
      <c r="T406" s="2" t="s">
        <v>39</v>
      </c>
      <c r="U406" s="2" t="s">
        <v>40</v>
      </c>
      <c r="V406" s="3"/>
    </row>
    <row r="407" spans="1:22">
      <c r="A407" s="2">
        <v>406</v>
      </c>
      <c r="B407" s="3" t="s">
        <v>4083</v>
      </c>
      <c r="C407" s="3" t="s">
        <v>4134</v>
      </c>
      <c r="D407" s="3" t="s">
        <v>4135</v>
      </c>
      <c r="E407" s="2" t="s">
        <v>69</v>
      </c>
      <c r="F407" s="2" t="s">
        <v>43</v>
      </c>
      <c r="G407" s="3" t="s">
        <v>4136</v>
      </c>
      <c r="H407" s="2" t="s">
        <v>4137</v>
      </c>
      <c r="I407" s="3" t="s">
        <v>29</v>
      </c>
      <c r="J407" s="3" t="s">
        <v>4138</v>
      </c>
      <c r="K407" s="3" t="s">
        <v>272</v>
      </c>
      <c r="L407" s="3" t="s">
        <v>167</v>
      </c>
      <c r="M407" s="3" t="s">
        <v>4139</v>
      </c>
      <c r="N407" s="3" t="s">
        <v>4140</v>
      </c>
      <c r="O407" s="3" t="s">
        <v>4141</v>
      </c>
      <c r="P407" s="3" t="s">
        <v>4142</v>
      </c>
      <c r="Q407" s="3" t="s">
        <v>4143</v>
      </c>
      <c r="R407" s="3" t="s">
        <v>4143</v>
      </c>
      <c r="S407" s="2" t="s">
        <v>3054</v>
      </c>
      <c r="T407" s="2" t="s">
        <v>39</v>
      </c>
      <c r="U407" s="2" t="s">
        <v>40</v>
      </c>
      <c r="V407" s="3"/>
    </row>
    <row r="408" spans="1:22">
      <c r="A408" s="2">
        <v>407</v>
      </c>
      <c r="B408" s="3" t="s">
        <v>4083</v>
      </c>
      <c r="C408" s="3" t="s">
        <v>4144</v>
      </c>
      <c r="D408" s="3" t="s">
        <v>4145</v>
      </c>
      <c r="E408" s="2" t="s">
        <v>404</v>
      </c>
      <c r="F408" s="2" t="s">
        <v>26</v>
      </c>
      <c r="G408" s="3" t="s">
        <v>4146</v>
      </c>
      <c r="H408" s="2" t="s">
        <v>4147</v>
      </c>
      <c r="I408" s="3" t="s">
        <v>29</v>
      </c>
      <c r="J408" s="3" t="s">
        <v>4148</v>
      </c>
      <c r="K408" s="3" t="s">
        <v>47</v>
      </c>
      <c r="L408" s="3" t="s">
        <v>323</v>
      </c>
      <c r="M408" s="3" t="s">
        <v>4149</v>
      </c>
      <c r="N408" s="3" t="s">
        <v>4150</v>
      </c>
      <c r="O408" s="3" t="s">
        <v>4151</v>
      </c>
      <c r="P408" s="3" t="s">
        <v>4152</v>
      </c>
      <c r="Q408" s="3" t="s">
        <v>4153</v>
      </c>
      <c r="R408" s="3" t="s">
        <v>4153</v>
      </c>
      <c r="S408" s="2" t="s">
        <v>3054</v>
      </c>
      <c r="T408" s="2" t="s">
        <v>39</v>
      </c>
      <c r="U408" s="2" t="s">
        <v>40</v>
      </c>
      <c r="V408" s="3"/>
    </row>
    <row r="409" spans="1:22">
      <c r="A409" s="2">
        <v>408</v>
      </c>
      <c r="B409" s="3" t="s">
        <v>4083</v>
      </c>
      <c r="C409" s="3" t="s">
        <v>4154</v>
      </c>
      <c r="D409" s="3" t="s">
        <v>4155</v>
      </c>
      <c r="E409" s="2" t="s">
        <v>257</v>
      </c>
      <c r="F409" s="2" t="s">
        <v>26</v>
      </c>
      <c r="G409" s="3" t="s">
        <v>4156</v>
      </c>
      <c r="H409" s="2" t="s">
        <v>4157</v>
      </c>
      <c r="I409" s="3" t="s">
        <v>29</v>
      </c>
      <c r="J409" s="3" t="s">
        <v>4158</v>
      </c>
      <c r="K409" s="3" t="s">
        <v>120</v>
      </c>
      <c r="L409" s="3" t="s">
        <v>108</v>
      </c>
      <c r="M409" s="3" t="s">
        <v>4159</v>
      </c>
      <c r="N409" s="3" t="s">
        <v>4160</v>
      </c>
      <c r="O409" s="3" t="s">
        <v>4161</v>
      </c>
      <c r="P409" s="3" t="s">
        <v>4162</v>
      </c>
      <c r="Q409" s="3" t="s">
        <v>4163</v>
      </c>
      <c r="R409" s="3" t="s">
        <v>4163</v>
      </c>
      <c r="S409" s="2" t="s">
        <v>3054</v>
      </c>
      <c r="T409" s="2" t="s">
        <v>39</v>
      </c>
      <c r="U409" s="2" t="s">
        <v>40</v>
      </c>
      <c r="V409" s="3"/>
    </row>
    <row r="410" spans="1:22">
      <c r="A410" s="2">
        <v>409</v>
      </c>
      <c r="B410" s="3" t="s">
        <v>4083</v>
      </c>
      <c r="C410" s="3" t="s">
        <v>4164</v>
      </c>
      <c r="D410" s="3" t="s">
        <v>4165</v>
      </c>
      <c r="E410" s="2" t="s">
        <v>773</v>
      </c>
      <c r="F410" s="2" t="s">
        <v>43</v>
      </c>
      <c r="G410" s="3" t="s">
        <v>4166</v>
      </c>
      <c r="H410" s="2" t="s">
        <v>4167</v>
      </c>
      <c r="I410" s="3" t="s">
        <v>29</v>
      </c>
      <c r="J410" s="3" t="s">
        <v>4168</v>
      </c>
      <c r="K410" s="3" t="s">
        <v>47</v>
      </c>
      <c r="L410" s="3" t="s">
        <v>989</v>
      </c>
      <c r="M410" s="3" t="s">
        <v>4169</v>
      </c>
      <c r="N410" s="3" t="s">
        <v>4170</v>
      </c>
      <c r="O410" s="3" t="s">
        <v>4171</v>
      </c>
      <c r="P410" s="3" t="s">
        <v>4172</v>
      </c>
      <c r="Q410" s="3" t="s">
        <v>4173</v>
      </c>
      <c r="R410" s="3" t="s">
        <v>4173</v>
      </c>
      <c r="S410" s="2" t="s">
        <v>3054</v>
      </c>
      <c r="T410" s="2" t="s">
        <v>39</v>
      </c>
      <c r="U410" s="2" t="s">
        <v>40</v>
      </c>
      <c r="V410" s="3"/>
    </row>
    <row r="411" spans="1:22">
      <c r="A411" s="2">
        <v>410</v>
      </c>
      <c r="B411" s="3" t="s">
        <v>4083</v>
      </c>
      <c r="C411" s="3" t="s">
        <v>4174</v>
      </c>
      <c r="D411" s="3" t="s">
        <v>4175</v>
      </c>
      <c r="E411" s="2" t="s">
        <v>25</v>
      </c>
      <c r="F411" s="2" t="s">
        <v>43</v>
      </c>
      <c r="G411" s="3" t="s">
        <v>4176</v>
      </c>
      <c r="H411" s="2" t="s">
        <v>4177</v>
      </c>
      <c r="I411" s="3" t="s">
        <v>29</v>
      </c>
      <c r="J411" s="3" t="s">
        <v>4178</v>
      </c>
      <c r="K411" s="3" t="s">
        <v>272</v>
      </c>
      <c r="L411" s="3" t="s">
        <v>156</v>
      </c>
      <c r="M411" s="3" t="s">
        <v>4179</v>
      </c>
      <c r="N411" s="3" t="s">
        <v>4180</v>
      </c>
      <c r="O411" s="3" t="s">
        <v>4181</v>
      </c>
      <c r="P411" s="3" t="s">
        <v>4182</v>
      </c>
      <c r="Q411" s="3" t="s">
        <v>4183</v>
      </c>
      <c r="R411" s="3" t="s">
        <v>4183</v>
      </c>
      <c r="S411" s="2" t="s">
        <v>3054</v>
      </c>
      <c r="T411" s="2" t="s">
        <v>39</v>
      </c>
      <c r="U411" s="2" t="s">
        <v>40</v>
      </c>
      <c r="V411" s="3"/>
    </row>
    <row r="412" spans="1:22">
      <c r="A412" s="2">
        <v>411</v>
      </c>
      <c r="B412" s="3" t="s">
        <v>4083</v>
      </c>
      <c r="C412" s="3" t="s">
        <v>4184</v>
      </c>
      <c r="D412" s="3" t="s">
        <v>4185</v>
      </c>
      <c r="E412" s="2" t="s">
        <v>103</v>
      </c>
      <c r="F412" s="2" t="s">
        <v>26</v>
      </c>
      <c r="G412" s="3" t="s">
        <v>4186</v>
      </c>
      <c r="H412" s="2" t="s">
        <v>4187</v>
      </c>
      <c r="I412" s="3" t="s">
        <v>29</v>
      </c>
      <c r="J412" s="3" t="s">
        <v>4188</v>
      </c>
      <c r="K412" s="3" t="s">
        <v>47</v>
      </c>
      <c r="L412" s="3" t="s">
        <v>132</v>
      </c>
      <c r="M412" s="3" t="s">
        <v>4189</v>
      </c>
      <c r="N412" s="3" t="s">
        <v>4190</v>
      </c>
      <c r="O412" s="3" t="s">
        <v>4191</v>
      </c>
      <c r="P412" s="3" t="s">
        <v>4192</v>
      </c>
      <c r="Q412" s="3" t="s">
        <v>4193</v>
      </c>
      <c r="R412" s="3" t="s">
        <v>4193</v>
      </c>
      <c r="S412" s="2" t="s">
        <v>3054</v>
      </c>
      <c r="T412" s="2" t="s">
        <v>39</v>
      </c>
      <c r="U412" s="2" t="s">
        <v>40</v>
      </c>
      <c r="V412" s="3"/>
    </row>
    <row r="413" spans="1:22">
      <c r="A413" s="2">
        <v>412</v>
      </c>
      <c r="B413" s="3" t="s">
        <v>4083</v>
      </c>
      <c r="C413" s="3" t="s">
        <v>4194</v>
      </c>
      <c r="D413" s="3" t="s">
        <v>4195</v>
      </c>
      <c r="E413" s="2" t="s">
        <v>116</v>
      </c>
      <c r="F413" s="2" t="s">
        <v>26</v>
      </c>
      <c r="G413" s="3" t="s">
        <v>4196</v>
      </c>
      <c r="H413" s="2" t="s">
        <v>4197</v>
      </c>
      <c r="I413" s="3" t="s">
        <v>29</v>
      </c>
      <c r="J413" s="3" t="s">
        <v>4198</v>
      </c>
      <c r="K413" s="3" t="s">
        <v>47</v>
      </c>
      <c r="L413" s="3" t="s">
        <v>323</v>
      </c>
      <c r="M413" s="3" t="s">
        <v>4199</v>
      </c>
      <c r="N413" s="3" t="s">
        <v>4200</v>
      </c>
      <c r="O413" s="3" t="s">
        <v>4201</v>
      </c>
      <c r="P413" s="3" t="s">
        <v>4202</v>
      </c>
      <c r="Q413" s="3" t="s">
        <v>4203</v>
      </c>
      <c r="R413" s="3" t="s">
        <v>4203</v>
      </c>
      <c r="S413" s="2" t="s">
        <v>3054</v>
      </c>
      <c r="T413" s="2" t="s">
        <v>39</v>
      </c>
      <c r="U413" s="2" t="s">
        <v>40</v>
      </c>
      <c r="V413" s="3"/>
    </row>
    <row r="414" spans="1:22">
      <c r="A414" s="2">
        <v>413</v>
      </c>
      <c r="B414" s="3" t="s">
        <v>4083</v>
      </c>
      <c r="C414" s="3" t="s">
        <v>4204</v>
      </c>
      <c r="D414" s="3" t="s">
        <v>4205</v>
      </c>
      <c r="E414" s="2" t="s">
        <v>69</v>
      </c>
      <c r="F414" s="2" t="s">
        <v>26</v>
      </c>
      <c r="G414" s="3" t="s">
        <v>4206</v>
      </c>
      <c r="H414" s="2" t="s">
        <v>4207</v>
      </c>
      <c r="I414" s="3" t="s">
        <v>29</v>
      </c>
      <c r="J414" s="3" t="s">
        <v>4208</v>
      </c>
      <c r="K414" s="3" t="s">
        <v>47</v>
      </c>
      <c r="L414" s="3" t="s">
        <v>323</v>
      </c>
      <c r="M414" s="3" t="s">
        <v>2487</v>
      </c>
      <c r="N414" s="3" t="s">
        <v>4209</v>
      </c>
      <c r="O414" s="3" t="s">
        <v>4210</v>
      </c>
      <c r="P414" s="3" t="s">
        <v>4211</v>
      </c>
      <c r="Q414" s="3" t="s">
        <v>4212</v>
      </c>
      <c r="R414" s="3" t="s">
        <v>4212</v>
      </c>
      <c r="S414" s="2" t="s">
        <v>3054</v>
      </c>
      <c r="T414" s="2" t="s">
        <v>39</v>
      </c>
      <c r="U414" s="2" t="s">
        <v>40</v>
      </c>
      <c r="V414" s="3"/>
    </row>
    <row r="415" spans="1:22">
      <c r="A415" s="2">
        <v>414</v>
      </c>
      <c r="B415" s="3" t="s">
        <v>4083</v>
      </c>
      <c r="C415" s="3" t="s">
        <v>4213</v>
      </c>
      <c r="D415" s="3" t="s">
        <v>4214</v>
      </c>
      <c r="E415" s="2" t="s">
        <v>25</v>
      </c>
      <c r="F415" s="2" t="s">
        <v>43</v>
      </c>
      <c r="G415" s="3" t="s">
        <v>4215</v>
      </c>
      <c r="H415" s="2" t="s">
        <v>4216</v>
      </c>
      <c r="I415" s="3" t="s">
        <v>29</v>
      </c>
      <c r="J415" s="3" t="s">
        <v>4217</v>
      </c>
      <c r="K415" s="3" t="s">
        <v>47</v>
      </c>
      <c r="L415" s="3" t="s">
        <v>293</v>
      </c>
      <c r="M415" s="3" t="s">
        <v>4218</v>
      </c>
      <c r="N415" s="3" t="s">
        <v>4219</v>
      </c>
      <c r="O415" s="3" t="s">
        <v>4220</v>
      </c>
      <c r="P415" s="3" t="s">
        <v>4221</v>
      </c>
      <c r="Q415" s="3" t="s">
        <v>4222</v>
      </c>
      <c r="R415" s="3" t="s">
        <v>4222</v>
      </c>
      <c r="S415" s="2" t="s">
        <v>3054</v>
      </c>
      <c r="T415" s="2" t="s">
        <v>39</v>
      </c>
      <c r="U415" s="2" t="s">
        <v>40</v>
      </c>
      <c r="V415" s="3"/>
    </row>
    <row r="416" spans="1:22">
      <c r="A416" s="2">
        <v>415</v>
      </c>
      <c r="B416" s="3" t="s">
        <v>4083</v>
      </c>
      <c r="C416" s="3" t="s">
        <v>4223</v>
      </c>
      <c r="D416" s="3" t="s">
        <v>4224</v>
      </c>
      <c r="E416" s="2" t="s">
        <v>25</v>
      </c>
      <c r="F416" s="2" t="s">
        <v>26</v>
      </c>
      <c r="G416" s="3" t="s">
        <v>4225</v>
      </c>
      <c r="H416" s="2" t="s">
        <v>4226</v>
      </c>
      <c r="I416" s="3" t="s">
        <v>29</v>
      </c>
      <c r="J416" s="3" t="s">
        <v>4227</v>
      </c>
      <c r="K416" s="3" t="s">
        <v>47</v>
      </c>
      <c r="L416" s="3" t="s">
        <v>167</v>
      </c>
      <c r="M416" s="3" t="s">
        <v>4228</v>
      </c>
      <c r="N416" s="3" t="s">
        <v>4229</v>
      </c>
      <c r="O416" s="3" t="s">
        <v>4230</v>
      </c>
      <c r="P416" s="3" t="s">
        <v>4231</v>
      </c>
      <c r="Q416" s="3" t="s">
        <v>4232</v>
      </c>
      <c r="R416" s="3" t="s">
        <v>4232</v>
      </c>
      <c r="S416" s="2" t="s">
        <v>3054</v>
      </c>
      <c r="T416" s="2" t="s">
        <v>39</v>
      </c>
      <c r="U416" s="2" t="s">
        <v>40</v>
      </c>
      <c r="V416" s="3"/>
    </row>
    <row r="417" spans="1:22">
      <c r="A417" s="2">
        <v>416</v>
      </c>
      <c r="B417" s="3" t="s">
        <v>4083</v>
      </c>
      <c r="C417" s="3" t="s">
        <v>4233</v>
      </c>
      <c r="D417" s="3" t="s">
        <v>4234</v>
      </c>
      <c r="E417" s="2" t="s">
        <v>257</v>
      </c>
      <c r="F417" s="2" t="s">
        <v>26</v>
      </c>
      <c r="G417" s="3" t="s">
        <v>4235</v>
      </c>
      <c r="H417" s="2" t="s">
        <v>4236</v>
      </c>
      <c r="I417" s="3" t="s">
        <v>29</v>
      </c>
      <c r="J417" s="3" t="s">
        <v>4237</v>
      </c>
      <c r="K417" s="3" t="s">
        <v>272</v>
      </c>
      <c r="L417" s="3" t="s">
        <v>323</v>
      </c>
      <c r="M417" s="3" t="s">
        <v>4238</v>
      </c>
      <c r="N417" s="3" t="s">
        <v>4239</v>
      </c>
      <c r="O417" s="3" t="s">
        <v>4240</v>
      </c>
      <c r="P417" s="3" t="s">
        <v>4241</v>
      </c>
      <c r="Q417" s="3" t="s">
        <v>4242</v>
      </c>
      <c r="R417" s="3" t="s">
        <v>4242</v>
      </c>
      <c r="S417" s="2" t="s">
        <v>3054</v>
      </c>
      <c r="T417" s="2" t="s">
        <v>39</v>
      </c>
      <c r="U417" s="2" t="s">
        <v>40</v>
      </c>
      <c r="V417" s="3"/>
    </row>
    <row r="418" spans="1:22">
      <c r="A418" s="2">
        <v>417</v>
      </c>
      <c r="B418" s="3" t="s">
        <v>4083</v>
      </c>
      <c r="C418" s="3" t="s">
        <v>4243</v>
      </c>
      <c r="D418" s="3" t="s">
        <v>4244</v>
      </c>
      <c r="E418" s="2" t="s">
        <v>506</v>
      </c>
      <c r="F418" s="2" t="s">
        <v>26</v>
      </c>
      <c r="G418" s="3" t="s">
        <v>4245</v>
      </c>
      <c r="H418" s="2" t="s">
        <v>4246</v>
      </c>
      <c r="I418" s="3" t="s">
        <v>29</v>
      </c>
      <c r="J418" s="3" t="s">
        <v>4247</v>
      </c>
      <c r="K418" s="3" t="s">
        <v>47</v>
      </c>
      <c r="L418" s="3" t="s">
        <v>167</v>
      </c>
      <c r="M418" s="3" t="s">
        <v>4248</v>
      </c>
      <c r="N418" s="3" t="s">
        <v>4249</v>
      </c>
      <c r="O418" s="3" t="s">
        <v>4250</v>
      </c>
      <c r="P418" s="3" t="s">
        <v>4251</v>
      </c>
      <c r="Q418" s="3" t="s">
        <v>4252</v>
      </c>
      <c r="R418" s="3" t="s">
        <v>4252</v>
      </c>
      <c r="S418" s="2" t="s">
        <v>3054</v>
      </c>
      <c r="T418" s="2" t="s">
        <v>39</v>
      </c>
      <c r="U418" s="2" t="s">
        <v>40</v>
      </c>
      <c r="V418" s="3"/>
    </row>
    <row r="419" spans="1:22">
      <c r="A419" s="2">
        <v>418</v>
      </c>
      <c r="B419" s="3" t="s">
        <v>4083</v>
      </c>
      <c r="C419" s="3" t="s">
        <v>4253</v>
      </c>
      <c r="D419" s="3" t="s">
        <v>4254</v>
      </c>
      <c r="E419" s="2" t="s">
        <v>206</v>
      </c>
      <c r="F419" s="2" t="s">
        <v>26</v>
      </c>
      <c r="G419" s="3" t="s">
        <v>4255</v>
      </c>
      <c r="H419" s="2" t="s">
        <v>4256</v>
      </c>
      <c r="I419" s="3" t="s">
        <v>29</v>
      </c>
      <c r="J419" s="3" t="s">
        <v>4257</v>
      </c>
      <c r="K419" s="3" t="s">
        <v>365</v>
      </c>
      <c r="L419" s="3" t="s">
        <v>167</v>
      </c>
      <c r="M419" s="3" t="s">
        <v>4258</v>
      </c>
      <c r="N419" s="3" t="s">
        <v>4259</v>
      </c>
      <c r="O419" s="3" t="s">
        <v>4260</v>
      </c>
      <c r="P419" s="3" t="s">
        <v>4261</v>
      </c>
      <c r="Q419" s="3" t="s">
        <v>4262</v>
      </c>
      <c r="R419" s="3" t="s">
        <v>4262</v>
      </c>
      <c r="S419" s="2" t="s">
        <v>3054</v>
      </c>
      <c r="T419" s="2" t="s">
        <v>39</v>
      </c>
      <c r="U419" s="2" t="s">
        <v>40</v>
      </c>
      <c r="V419" s="3"/>
    </row>
    <row r="420" spans="1:22">
      <c r="A420" s="2">
        <v>419</v>
      </c>
      <c r="B420" s="3" t="s">
        <v>4083</v>
      </c>
      <c r="C420" s="3" t="s">
        <v>4263</v>
      </c>
      <c r="D420" s="3" t="s">
        <v>4264</v>
      </c>
      <c r="E420" s="2" t="s">
        <v>3096</v>
      </c>
      <c r="F420" s="2" t="s">
        <v>26</v>
      </c>
      <c r="G420" s="3" t="s">
        <v>4265</v>
      </c>
      <c r="H420" s="2" t="s">
        <v>4266</v>
      </c>
      <c r="I420" s="3" t="s">
        <v>29</v>
      </c>
      <c r="J420" s="3" t="s">
        <v>4267</v>
      </c>
      <c r="K420" s="3" t="s">
        <v>47</v>
      </c>
      <c r="L420" s="3" t="s">
        <v>167</v>
      </c>
      <c r="M420" s="3" t="s">
        <v>4248</v>
      </c>
      <c r="N420" s="3" t="s">
        <v>4268</v>
      </c>
      <c r="O420" s="3" t="s">
        <v>4269</v>
      </c>
      <c r="P420" s="3" t="s">
        <v>4270</v>
      </c>
      <c r="Q420" s="3" t="s">
        <v>4271</v>
      </c>
      <c r="R420" s="3" t="s">
        <v>4271</v>
      </c>
      <c r="S420" s="2" t="s">
        <v>3054</v>
      </c>
      <c r="T420" s="2" t="s">
        <v>39</v>
      </c>
      <c r="U420" s="2" t="s">
        <v>40</v>
      </c>
      <c r="V420" s="3"/>
    </row>
    <row r="421" spans="1:22">
      <c r="A421" s="2">
        <v>420</v>
      </c>
      <c r="B421" s="3" t="s">
        <v>4083</v>
      </c>
      <c r="C421" s="3" t="s">
        <v>4272</v>
      </c>
      <c r="D421" s="3" t="s">
        <v>4273</v>
      </c>
      <c r="E421" s="2" t="s">
        <v>206</v>
      </c>
      <c r="F421" s="2" t="s">
        <v>26</v>
      </c>
      <c r="G421" s="3" t="s">
        <v>4274</v>
      </c>
      <c r="H421" s="2" t="s">
        <v>4275</v>
      </c>
      <c r="I421" s="3" t="s">
        <v>29</v>
      </c>
      <c r="J421" s="3" t="s">
        <v>4276</v>
      </c>
      <c r="K421" s="3" t="s">
        <v>3007</v>
      </c>
      <c r="L421" s="3" t="s">
        <v>132</v>
      </c>
      <c r="M421" s="3" t="s">
        <v>4277</v>
      </c>
      <c r="N421" s="3" t="s">
        <v>4278</v>
      </c>
      <c r="O421" s="3" t="s">
        <v>4279</v>
      </c>
      <c r="P421" s="3" t="s">
        <v>4280</v>
      </c>
      <c r="Q421" s="3" t="s">
        <v>4281</v>
      </c>
      <c r="R421" s="3" t="s">
        <v>4281</v>
      </c>
      <c r="S421" s="2" t="s">
        <v>3054</v>
      </c>
      <c r="T421" s="2" t="s">
        <v>39</v>
      </c>
      <c r="U421" s="2" t="s">
        <v>40</v>
      </c>
      <c r="V421" s="3"/>
    </row>
    <row r="422" spans="1:22">
      <c r="A422" s="2">
        <v>421</v>
      </c>
      <c r="B422" s="3" t="s">
        <v>4083</v>
      </c>
      <c r="C422" s="3" t="s">
        <v>4282</v>
      </c>
      <c r="D422" s="3" t="s">
        <v>4283</v>
      </c>
      <c r="E422" s="2" t="s">
        <v>506</v>
      </c>
      <c r="F422" s="2" t="s">
        <v>26</v>
      </c>
      <c r="G422" s="3" t="s">
        <v>4284</v>
      </c>
      <c r="H422" s="2" t="s">
        <v>4285</v>
      </c>
      <c r="I422" s="3" t="s">
        <v>29</v>
      </c>
      <c r="J422" s="3" t="s">
        <v>4286</v>
      </c>
      <c r="K422" s="3" t="s">
        <v>107</v>
      </c>
      <c r="L422" s="3" t="s">
        <v>167</v>
      </c>
      <c r="M422" s="3" t="s">
        <v>4287</v>
      </c>
      <c r="N422" s="3" t="s">
        <v>4288</v>
      </c>
      <c r="O422" s="3" t="s">
        <v>4289</v>
      </c>
      <c r="P422" s="3" t="s">
        <v>4290</v>
      </c>
      <c r="Q422" s="3" t="s">
        <v>4291</v>
      </c>
      <c r="R422" s="3" t="s">
        <v>4291</v>
      </c>
      <c r="S422" s="2" t="s">
        <v>3054</v>
      </c>
      <c r="T422" s="2" t="s">
        <v>39</v>
      </c>
      <c r="U422" s="2" t="s">
        <v>40</v>
      </c>
      <c r="V422" s="3"/>
    </row>
    <row r="423" spans="1:22">
      <c r="A423" s="2">
        <v>422</v>
      </c>
      <c r="B423" s="3" t="s">
        <v>4083</v>
      </c>
      <c r="C423" s="3" t="s">
        <v>4292</v>
      </c>
      <c r="D423" s="3" t="s">
        <v>4293</v>
      </c>
      <c r="E423" s="2" t="s">
        <v>621</v>
      </c>
      <c r="F423" s="2" t="s">
        <v>43</v>
      </c>
      <c r="G423" s="3" t="s">
        <v>4294</v>
      </c>
      <c r="H423" s="2" t="s">
        <v>4295</v>
      </c>
      <c r="I423" s="3" t="s">
        <v>29</v>
      </c>
      <c r="J423" s="3" t="s">
        <v>4296</v>
      </c>
      <c r="K423" s="3" t="s">
        <v>365</v>
      </c>
      <c r="L423" s="3" t="s">
        <v>61</v>
      </c>
      <c r="M423" s="3" t="s">
        <v>4297</v>
      </c>
      <c r="N423" s="3" t="s">
        <v>4298</v>
      </c>
      <c r="O423" s="3" t="s">
        <v>4299</v>
      </c>
      <c r="P423" s="3" t="s">
        <v>4300</v>
      </c>
      <c r="Q423" s="3" t="s">
        <v>4301</v>
      </c>
      <c r="R423" s="3" t="s">
        <v>4301</v>
      </c>
      <c r="S423" s="2" t="s">
        <v>3054</v>
      </c>
      <c r="T423" s="2" t="s">
        <v>39</v>
      </c>
      <c r="U423" s="2" t="s">
        <v>40</v>
      </c>
      <c r="V423" s="3"/>
    </row>
    <row r="424" spans="1:22">
      <c r="A424" s="2">
        <v>423</v>
      </c>
      <c r="B424" s="3" t="s">
        <v>4083</v>
      </c>
      <c r="C424" s="3" t="s">
        <v>4302</v>
      </c>
      <c r="D424" s="3" t="s">
        <v>4303</v>
      </c>
      <c r="E424" s="2" t="s">
        <v>257</v>
      </c>
      <c r="F424" s="2" t="s">
        <v>43</v>
      </c>
      <c r="G424" s="3" t="s">
        <v>4304</v>
      </c>
      <c r="H424" s="2" t="s">
        <v>4305</v>
      </c>
      <c r="I424" s="3" t="s">
        <v>29</v>
      </c>
      <c r="J424" s="3" t="s">
        <v>4306</v>
      </c>
      <c r="K424" s="3" t="s">
        <v>272</v>
      </c>
      <c r="L424" s="3" t="s">
        <v>132</v>
      </c>
      <c r="M424" s="3" t="s">
        <v>4307</v>
      </c>
      <c r="N424" s="3" t="s">
        <v>4308</v>
      </c>
      <c r="O424" s="3" t="s">
        <v>4309</v>
      </c>
      <c r="P424" s="3" t="s">
        <v>4310</v>
      </c>
      <c r="Q424" s="3" t="s">
        <v>4311</v>
      </c>
      <c r="R424" s="3" t="s">
        <v>4311</v>
      </c>
      <c r="S424" s="2" t="s">
        <v>3054</v>
      </c>
      <c r="T424" s="2" t="s">
        <v>39</v>
      </c>
      <c r="U424" s="2" t="s">
        <v>40</v>
      </c>
      <c r="V424" s="3"/>
    </row>
    <row r="425" spans="1:22">
      <c r="A425" s="2">
        <v>424</v>
      </c>
      <c r="B425" s="3" t="s">
        <v>4083</v>
      </c>
      <c r="C425" s="3" t="s">
        <v>4312</v>
      </c>
      <c r="D425" s="3" t="s">
        <v>4313</v>
      </c>
      <c r="E425" s="2" t="s">
        <v>383</v>
      </c>
      <c r="F425" s="2" t="s">
        <v>26</v>
      </c>
      <c r="G425" s="3" t="s">
        <v>4314</v>
      </c>
      <c r="H425" s="2" t="s">
        <v>4315</v>
      </c>
      <c r="I425" s="3" t="s">
        <v>29</v>
      </c>
      <c r="J425" s="3" t="s">
        <v>4316</v>
      </c>
      <c r="K425" s="3" t="s">
        <v>47</v>
      </c>
      <c r="L425" s="3" t="s">
        <v>293</v>
      </c>
      <c r="M425" s="3" t="s">
        <v>4317</v>
      </c>
      <c r="N425" s="3" t="s">
        <v>4318</v>
      </c>
      <c r="O425" s="3" t="s">
        <v>4319</v>
      </c>
      <c r="P425" s="3" t="s">
        <v>4320</v>
      </c>
      <c r="Q425" s="3" t="s">
        <v>4321</v>
      </c>
      <c r="R425" s="3" t="s">
        <v>4321</v>
      </c>
      <c r="S425" s="2" t="s">
        <v>3054</v>
      </c>
      <c r="T425" s="2" t="s">
        <v>39</v>
      </c>
      <c r="U425" s="2" t="s">
        <v>40</v>
      </c>
      <c r="V425" s="3"/>
    </row>
    <row r="426" spans="1:22">
      <c r="A426" s="2">
        <v>425</v>
      </c>
      <c r="B426" s="3" t="s">
        <v>4083</v>
      </c>
      <c r="C426" s="3" t="s">
        <v>4322</v>
      </c>
      <c r="D426" s="3" t="s">
        <v>4323</v>
      </c>
      <c r="E426" s="2" t="s">
        <v>257</v>
      </c>
      <c r="F426" s="2" t="s">
        <v>26</v>
      </c>
      <c r="G426" s="3" t="s">
        <v>4324</v>
      </c>
      <c r="H426" s="2" t="s">
        <v>4325</v>
      </c>
      <c r="I426" s="3" t="s">
        <v>29</v>
      </c>
      <c r="J426" s="3" t="s">
        <v>4326</v>
      </c>
      <c r="K426" s="3" t="s">
        <v>47</v>
      </c>
      <c r="L426" s="3" t="s">
        <v>108</v>
      </c>
      <c r="M426" s="3" t="s">
        <v>4327</v>
      </c>
      <c r="N426" s="3" t="s">
        <v>4328</v>
      </c>
      <c r="O426" s="3" t="s">
        <v>4329</v>
      </c>
      <c r="P426" s="3" t="s">
        <v>4330</v>
      </c>
      <c r="Q426" s="3" t="s">
        <v>4331</v>
      </c>
      <c r="R426" s="3" t="s">
        <v>4331</v>
      </c>
      <c r="S426" s="2" t="s">
        <v>3054</v>
      </c>
      <c r="T426" s="2" t="s">
        <v>39</v>
      </c>
      <c r="U426" s="2" t="s">
        <v>40</v>
      </c>
      <c r="V426" s="3"/>
    </row>
    <row r="427" spans="1:22">
      <c r="A427" s="2">
        <v>426</v>
      </c>
      <c r="B427" s="3" t="s">
        <v>4083</v>
      </c>
      <c r="C427" s="3" t="s">
        <v>4332</v>
      </c>
      <c r="D427" s="3" t="s">
        <v>4333</v>
      </c>
      <c r="E427" s="2" t="s">
        <v>621</v>
      </c>
      <c r="F427" s="2" t="s">
        <v>43</v>
      </c>
      <c r="G427" s="3" t="s">
        <v>4334</v>
      </c>
      <c r="H427" s="2" t="s">
        <v>4335</v>
      </c>
      <c r="I427" s="3" t="s">
        <v>29</v>
      </c>
      <c r="J427" s="3" t="s">
        <v>4336</v>
      </c>
      <c r="K427" s="3" t="s">
        <v>107</v>
      </c>
      <c r="L427" s="3" t="s">
        <v>32</v>
      </c>
      <c r="M427" s="3" t="s">
        <v>4337</v>
      </c>
      <c r="N427" s="3" t="s">
        <v>4338</v>
      </c>
      <c r="O427" s="3" t="s">
        <v>4339</v>
      </c>
      <c r="P427" s="3" t="s">
        <v>4340</v>
      </c>
      <c r="Q427" s="3" t="s">
        <v>4341</v>
      </c>
      <c r="R427" s="3" t="s">
        <v>4341</v>
      </c>
      <c r="S427" s="2" t="s">
        <v>3054</v>
      </c>
      <c r="T427" s="2" t="s">
        <v>39</v>
      </c>
      <c r="U427" s="2" t="s">
        <v>40</v>
      </c>
      <c r="V427" s="3"/>
    </row>
    <row r="428" spans="1:22">
      <c r="A428" s="2">
        <v>427</v>
      </c>
      <c r="B428" s="3" t="s">
        <v>4083</v>
      </c>
      <c r="C428" s="3" t="s">
        <v>4342</v>
      </c>
      <c r="D428" s="3" t="s">
        <v>4343</v>
      </c>
      <c r="E428" s="2" t="s">
        <v>257</v>
      </c>
      <c r="F428" s="2" t="s">
        <v>43</v>
      </c>
      <c r="G428" s="3" t="s">
        <v>4344</v>
      </c>
      <c r="H428" s="2" t="s">
        <v>4345</v>
      </c>
      <c r="I428" s="3" t="s">
        <v>29</v>
      </c>
      <c r="J428" s="3" t="s">
        <v>4346</v>
      </c>
      <c r="K428" s="3" t="s">
        <v>107</v>
      </c>
      <c r="L428" s="3" t="s">
        <v>32</v>
      </c>
      <c r="M428" s="3" t="s">
        <v>4347</v>
      </c>
      <c r="N428" s="3" t="s">
        <v>4348</v>
      </c>
      <c r="O428" s="3" t="s">
        <v>4349</v>
      </c>
      <c r="P428" s="3" t="s">
        <v>4350</v>
      </c>
      <c r="Q428" s="3" t="s">
        <v>4351</v>
      </c>
      <c r="R428" s="3" t="s">
        <v>4351</v>
      </c>
      <c r="S428" s="2" t="s">
        <v>3054</v>
      </c>
      <c r="T428" s="2" t="s">
        <v>39</v>
      </c>
      <c r="U428" s="2" t="s">
        <v>40</v>
      </c>
      <c r="V428" s="3"/>
    </row>
    <row r="429" spans="1:22">
      <c r="A429" s="2">
        <v>428</v>
      </c>
      <c r="B429" s="3" t="s">
        <v>4083</v>
      </c>
      <c r="C429" s="3" t="s">
        <v>4352</v>
      </c>
      <c r="D429" s="3" t="s">
        <v>4353</v>
      </c>
      <c r="E429" s="2" t="s">
        <v>642</v>
      </c>
      <c r="F429" s="2" t="s">
        <v>43</v>
      </c>
      <c r="G429" s="3" t="s">
        <v>4354</v>
      </c>
      <c r="H429" s="2" t="s">
        <v>4355</v>
      </c>
      <c r="I429" s="3" t="s">
        <v>29</v>
      </c>
      <c r="J429" s="3" t="s">
        <v>4356</v>
      </c>
      <c r="K429" s="3" t="s">
        <v>47</v>
      </c>
      <c r="L429" s="3" t="s">
        <v>48</v>
      </c>
      <c r="M429" s="3" t="s">
        <v>4357</v>
      </c>
      <c r="N429" s="3" t="s">
        <v>4358</v>
      </c>
      <c r="O429" s="3" t="s">
        <v>4359</v>
      </c>
      <c r="P429" s="3" t="s">
        <v>4360</v>
      </c>
      <c r="Q429" s="3" t="s">
        <v>4361</v>
      </c>
      <c r="R429" s="3" t="s">
        <v>4361</v>
      </c>
      <c r="S429" s="2" t="s">
        <v>3054</v>
      </c>
      <c r="T429" s="2" t="s">
        <v>39</v>
      </c>
      <c r="U429" s="2" t="s">
        <v>40</v>
      </c>
      <c r="V429" s="3"/>
    </row>
    <row r="430" spans="1:22">
      <c r="A430" s="2">
        <v>429</v>
      </c>
      <c r="B430" s="3" t="s">
        <v>4083</v>
      </c>
      <c r="C430" s="3" t="s">
        <v>4362</v>
      </c>
      <c r="D430" s="3" t="s">
        <v>4363</v>
      </c>
      <c r="E430" s="2" t="s">
        <v>257</v>
      </c>
      <c r="F430" s="2" t="s">
        <v>26</v>
      </c>
      <c r="G430" s="3" t="s">
        <v>4364</v>
      </c>
      <c r="H430" s="2" t="s">
        <v>4365</v>
      </c>
      <c r="I430" s="3" t="s">
        <v>29</v>
      </c>
      <c r="J430" s="3" t="s">
        <v>1432</v>
      </c>
      <c r="K430" s="3" t="s">
        <v>47</v>
      </c>
      <c r="L430" s="3" t="s">
        <v>167</v>
      </c>
      <c r="M430" s="3" t="s">
        <v>4366</v>
      </c>
      <c r="N430" s="3" t="s">
        <v>3250</v>
      </c>
      <c r="O430" s="3" t="s">
        <v>4367</v>
      </c>
      <c r="P430" s="3" t="s">
        <v>4368</v>
      </c>
      <c r="Q430" s="3" t="s">
        <v>4369</v>
      </c>
      <c r="R430" s="3" t="s">
        <v>4369</v>
      </c>
      <c r="S430" s="2" t="s">
        <v>3054</v>
      </c>
      <c r="T430" s="2" t="s">
        <v>39</v>
      </c>
      <c r="U430" s="2" t="s">
        <v>40</v>
      </c>
      <c r="V430" s="3"/>
    </row>
    <row r="431" spans="1:22">
      <c r="A431" s="2">
        <v>430</v>
      </c>
      <c r="B431" s="3" t="s">
        <v>4083</v>
      </c>
      <c r="C431" s="3" t="s">
        <v>4370</v>
      </c>
      <c r="D431" s="3" t="s">
        <v>4371</v>
      </c>
      <c r="E431" s="2" t="s">
        <v>103</v>
      </c>
      <c r="F431" s="2" t="s">
        <v>26</v>
      </c>
      <c r="G431" s="3" t="s">
        <v>4372</v>
      </c>
      <c r="H431" s="2" t="s">
        <v>4373</v>
      </c>
      <c r="I431" s="3" t="s">
        <v>29</v>
      </c>
      <c r="J431" s="3" t="s">
        <v>4374</v>
      </c>
      <c r="K431" s="3" t="s">
        <v>47</v>
      </c>
      <c r="L431" s="3" t="s">
        <v>32</v>
      </c>
      <c r="M431" s="3" t="s">
        <v>4375</v>
      </c>
      <c r="N431" s="3" t="s">
        <v>4376</v>
      </c>
      <c r="O431" s="3" t="s">
        <v>4377</v>
      </c>
      <c r="P431" s="3" t="s">
        <v>4378</v>
      </c>
      <c r="Q431" s="3" t="s">
        <v>4379</v>
      </c>
      <c r="R431" s="3" t="s">
        <v>4379</v>
      </c>
      <c r="S431" s="2" t="s">
        <v>3054</v>
      </c>
      <c r="T431" s="2" t="s">
        <v>39</v>
      </c>
      <c r="U431" s="2" t="s">
        <v>40</v>
      </c>
      <c r="V431" s="3"/>
    </row>
    <row r="432" spans="1:22">
      <c r="A432" s="2">
        <v>431</v>
      </c>
      <c r="B432" s="3" t="s">
        <v>4083</v>
      </c>
      <c r="C432" s="3" t="s">
        <v>4380</v>
      </c>
      <c r="D432" s="3" t="s">
        <v>4381</v>
      </c>
      <c r="E432" s="2" t="s">
        <v>81</v>
      </c>
      <c r="F432" s="2" t="s">
        <v>43</v>
      </c>
      <c r="G432" s="3" t="s">
        <v>4382</v>
      </c>
      <c r="H432" s="2" t="s">
        <v>4383</v>
      </c>
      <c r="I432" s="3" t="s">
        <v>29</v>
      </c>
      <c r="J432" s="3" t="s">
        <v>4384</v>
      </c>
      <c r="K432" s="3" t="s">
        <v>120</v>
      </c>
      <c r="L432" s="3" t="s">
        <v>323</v>
      </c>
      <c r="M432" s="3" t="s">
        <v>4385</v>
      </c>
      <c r="N432" s="3" t="s">
        <v>4386</v>
      </c>
      <c r="O432" s="3" t="s">
        <v>4387</v>
      </c>
      <c r="P432" s="3" t="s">
        <v>4388</v>
      </c>
      <c r="Q432" s="3" t="s">
        <v>4389</v>
      </c>
      <c r="R432" s="3" t="s">
        <v>4389</v>
      </c>
      <c r="S432" s="2" t="s">
        <v>3054</v>
      </c>
      <c r="T432" s="2" t="s">
        <v>39</v>
      </c>
      <c r="U432" s="2" t="s">
        <v>40</v>
      </c>
      <c r="V432" s="3"/>
    </row>
    <row r="433" spans="1:22">
      <c r="A433" s="2">
        <v>432</v>
      </c>
      <c r="B433" s="3" t="s">
        <v>4083</v>
      </c>
      <c r="C433" s="3" t="s">
        <v>4390</v>
      </c>
      <c r="D433" s="3" t="s">
        <v>4391</v>
      </c>
      <c r="E433" s="2" t="s">
        <v>257</v>
      </c>
      <c r="F433" s="2" t="s">
        <v>43</v>
      </c>
      <c r="G433" s="3" t="s">
        <v>4392</v>
      </c>
      <c r="H433" s="2" t="s">
        <v>4393</v>
      </c>
      <c r="I433" s="3" t="s">
        <v>29</v>
      </c>
      <c r="J433" s="3" t="s">
        <v>4394</v>
      </c>
      <c r="K433" s="3" t="s">
        <v>272</v>
      </c>
      <c r="L433" s="3" t="s">
        <v>989</v>
      </c>
      <c r="M433" s="3" t="s">
        <v>4395</v>
      </c>
      <c r="N433" s="3" t="s">
        <v>4396</v>
      </c>
      <c r="O433" s="3" t="s">
        <v>4397</v>
      </c>
      <c r="P433" s="3" t="s">
        <v>4398</v>
      </c>
      <c r="Q433" s="3" t="s">
        <v>4399</v>
      </c>
      <c r="R433" s="3" t="s">
        <v>4399</v>
      </c>
      <c r="S433" s="2" t="s">
        <v>3054</v>
      </c>
      <c r="T433" s="2" t="s">
        <v>39</v>
      </c>
      <c r="U433" s="2" t="s">
        <v>40</v>
      </c>
      <c r="V433" s="3"/>
    </row>
    <row r="434" spans="1:22">
      <c r="A434" s="2">
        <v>433</v>
      </c>
      <c r="B434" s="3" t="s">
        <v>4083</v>
      </c>
      <c r="C434" s="3" t="s">
        <v>4400</v>
      </c>
      <c r="D434" s="3" t="s">
        <v>4401</v>
      </c>
      <c r="E434" s="2" t="s">
        <v>351</v>
      </c>
      <c r="F434" s="2" t="s">
        <v>26</v>
      </c>
      <c r="G434" s="3" t="s">
        <v>4402</v>
      </c>
      <c r="H434" s="2" t="s">
        <v>4403</v>
      </c>
      <c r="I434" s="3" t="s">
        <v>29</v>
      </c>
      <c r="J434" s="3" t="s">
        <v>4404</v>
      </c>
      <c r="K434" s="3" t="s">
        <v>47</v>
      </c>
      <c r="L434" s="3" t="s">
        <v>323</v>
      </c>
      <c r="M434" s="3" t="s">
        <v>4405</v>
      </c>
      <c r="N434" s="3" t="s">
        <v>4406</v>
      </c>
      <c r="O434" s="3" t="s">
        <v>4407</v>
      </c>
      <c r="P434" s="3" t="s">
        <v>4408</v>
      </c>
      <c r="Q434" s="3" t="s">
        <v>4409</v>
      </c>
      <c r="R434" s="3" t="s">
        <v>4409</v>
      </c>
      <c r="S434" s="2" t="s">
        <v>3054</v>
      </c>
      <c r="T434" s="2" t="s">
        <v>39</v>
      </c>
      <c r="U434" s="2" t="s">
        <v>40</v>
      </c>
      <c r="V434" s="3"/>
    </row>
    <row r="435" spans="1:22">
      <c r="A435" s="2">
        <v>434</v>
      </c>
      <c r="B435" s="3" t="s">
        <v>4083</v>
      </c>
      <c r="C435" s="3" t="s">
        <v>4410</v>
      </c>
      <c r="D435" s="3" t="s">
        <v>4411</v>
      </c>
      <c r="E435" s="2" t="s">
        <v>383</v>
      </c>
      <c r="F435" s="2" t="s">
        <v>26</v>
      </c>
      <c r="G435" s="3" t="s">
        <v>4412</v>
      </c>
      <c r="H435" s="2" t="s">
        <v>4413</v>
      </c>
      <c r="I435" s="3" t="s">
        <v>29</v>
      </c>
      <c r="J435" s="3" t="s">
        <v>4414</v>
      </c>
      <c r="K435" s="3" t="s">
        <v>95</v>
      </c>
      <c r="L435" s="3" t="s">
        <v>167</v>
      </c>
      <c r="M435" s="3" t="s">
        <v>4415</v>
      </c>
      <c r="N435" s="3" t="s">
        <v>4416</v>
      </c>
      <c r="O435" s="3" t="s">
        <v>4417</v>
      </c>
      <c r="P435" s="3" t="s">
        <v>4418</v>
      </c>
      <c r="Q435" s="3" t="s">
        <v>4419</v>
      </c>
      <c r="R435" s="3" t="s">
        <v>4419</v>
      </c>
      <c r="S435" s="2" t="s">
        <v>3054</v>
      </c>
      <c r="T435" s="2" t="s">
        <v>39</v>
      </c>
      <c r="U435" s="2" t="s">
        <v>40</v>
      </c>
      <c r="V435" s="3"/>
    </row>
    <row r="436" spans="1:22">
      <c r="A436" s="2">
        <v>435</v>
      </c>
      <c r="B436" s="3" t="s">
        <v>4083</v>
      </c>
      <c r="C436" s="3" t="s">
        <v>4420</v>
      </c>
      <c r="D436" s="3" t="s">
        <v>4421</v>
      </c>
      <c r="E436" s="2" t="s">
        <v>206</v>
      </c>
      <c r="F436" s="2" t="s">
        <v>26</v>
      </c>
      <c r="G436" s="3" t="s">
        <v>4422</v>
      </c>
      <c r="H436" s="2" t="s">
        <v>4423</v>
      </c>
      <c r="I436" s="3" t="s">
        <v>29</v>
      </c>
      <c r="J436" s="3" t="s">
        <v>4424</v>
      </c>
      <c r="K436" s="3" t="s">
        <v>272</v>
      </c>
      <c r="L436" s="3" t="s">
        <v>603</v>
      </c>
      <c r="M436" s="3" t="s">
        <v>4425</v>
      </c>
      <c r="N436" s="3" t="s">
        <v>4426</v>
      </c>
      <c r="O436" s="3" t="s">
        <v>4427</v>
      </c>
      <c r="P436" s="3" t="s">
        <v>4428</v>
      </c>
      <c r="Q436" s="3" t="s">
        <v>4429</v>
      </c>
      <c r="R436" s="3" t="s">
        <v>4429</v>
      </c>
      <c r="S436" s="2" t="s">
        <v>3054</v>
      </c>
      <c r="T436" s="2" t="s">
        <v>39</v>
      </c>
      <c r="U436" s="2" t="s">
        <v>40</v>
      </c>
      <c r="V436" s="3"/>
    </row>
    <row r="437" spans="1:22">
      <c r="A437" s="2">
        <v>436</v>
      </c>
      <c r="B437" s="3" t="s">
        <v>4083</v>
      </c>
      <c r="C437" s="3" t="s">
        <v>4430</v>
      </c>
      <c r="D437" s="3" t="s">
        <v>4431</v>
      </c>
      <c r="E437" s="2" t="s">
        <v>257</v>
      </c>
      <c r="F437" s="2" t="s">
        <v>26</v>
      </c>
      <c r="G437" s="3" t="s">
        <v>4432</v>
      </c>
      <c r="H437" s="2" t="s">
        <v>4433</v>
      </c>
      <c r="I437" s="3" t="s">
        <v>29</v>
      </c>
      <c r="J437" s="3" t="s">
        <v>4434</v>
      </c>
      <c r="K437" s="3" t="s">
        <v>107</v>
      </c>
      <c r="L437" s="3" t="s">
        <v>167</v>
      </c>
      <c r="M437" s="3" t="s">
        <v>4435</v>
      </c>
      <c r="N437" s="3" t="s">
        <v>4436</v>
      </c>
      <c r="O437" s="3" t="s">
        <v>4437</v>
      </c>
      <c r="P437" s="3" t="s">
        <v>4438</v>
      </c>
      <c r="Q437" s="3" t="s">
        <v>4439</v>
      </c>
      <c r="R437" s="3" t="s">
        <v>4439</v>
      </c>
      <c r="S437" s="2" t="s">
        <v>3054</v>
      </c>
      <c r="T437" s="2" t="s">
        <v>39</v>
      </c>
      <c r="U437" s="2" t="s">
        <v>40</v>
      </c>
      <c r="V437" s="3"/>
    </row>
    <row r="438" spans="1:22">
      <c r="A438" s="2">
        <v>437</v>
      </c>
      <c r="B438" s="3" t="s">
        <v>4083</v>
      </c>
      <c r="C438" s="3" t="s">
        <v>4440</v>
      </c>
      <c r="D438" s="3" t="s">
        <v>4441</v>
      </c>
      <c r="E438" s="2" t="s">
        <v>257</v>
      </c>
      <c r="F438" s="2" t="s">
        <v>26</v>
      </c>
      <c r="G438" s="3" t="s">
        <v>4442</v>
      </c>
      <c r="H438" s="2" t="s">
        <v>4443</v>
      </c>
      <c r="I438" s="3" t="s">
        <v>29</v>
      </c>
      <c r="J438" s="3" t="s">
        <v>4444</v>
      </c>
      <c r="K438" s="3" t="s">
        <v>47</v>
      </c>
      <c r="L438" s="3" t="s">
        <v>73</v>
      </c>
      <c r="M438" s="3" t="s">
        <v>4445</v>
      </c>
      <c r="N438" s="3" t="s">
        <v>4446</v>
      </c>
      <c r="O438" s="3" t="s">
        <v>4447</v>
      </c>
      <c r="P438" s="3" t="s">
        <v>4448</v>
      </c>
      <c r="Q438" s="3" t="s">
        <v>4449</v>
      </c>
      <c r="R438" s="3" t="s">
        <v>4449</v>
      </c>
      <c r="S438" s="2" t="s">
        <v>3054</v>
      </c>
      <c r="T438" s="2" t="s">
        <v>39</v>
      </c>
      <c r="U438" s="2" t="s">
        <v>40</v>
      </c>
      <c r="V438" s="3"/>
    </row>
    <row r="439" spans="1:22">
      <c r="A439" s="2">
        <v>438</v>
      </c>
      <c r="B439" s="3" t="s">
        <v>4083</v>
      </c>
      <c r="C439" s="3" t="s">
        <v>4450</v>
      </c>
      <c r="D439" s="3" t="s">
        <v>4451</v>
      </c>
      <c r="E439" s="2" t="s">
        <v>383</v>
      </c>
      <c r="F439" s="2" t="s">
        <v>26</v>
      </c>
      <c r="G439" s="3" t="s">
        <v>4452</v>
      </c>
      <c r="H439" s="2" t="s">
        <v>4453</v>
      </c>
      <c r="I439" s="3" t="s">
        <v>29</v>
      </c>
      <c r="J439" s="3" t="s">
        <v>4454</v>
      </c>
      <c r="K439" s="3" t="s">
        <v>47</v>
      </c>
      <c r="L439" s="3" t="s">
        <v>167</v>
      </c>
      <c r="M439" s="3" t="s">
        <v>4455</v>
      </c>
      <c r="N439" s="3" t="s">
        <v>4456</v>
      </c>
      <c r="O439" s="3" t="s">
        <v>4457</v>
      </c>
      <c r="P439" s="3" t="s">
        <v>4458</v>
      </c>
      <c r="Q439" s="3" t="s">
        <v>4459</v>
      </c>
      <c r="R439" s="3" t="s">
        <v>4459</v>
      </c>
      <c r="S439" s="2" t="s">
        <v>3054</v>
      </c>
      <c r="T439" s="2" t="s">
        <v>39</v>
      </c>
      <c r="U439" s="2" t="s">
        <v>40</v>
      </c>
      <c r="V439" s="3"/>
    </row>
    <row r="440" spans="1:22">
      <c r="A440" s="2">
        <v>439</v>
      </c>
      <c r="B440" s="3" t="s">
        <v>4083</v>
      </c>
      <c r="C440" s="3" t="s">
        <v>4460</v>
      </c>
      <c r="D440" s="3" t="s">
        <v>4461</v>
      </c>
      <c r="E440" s="2" t="s">
        <v>69</v>
      </c>
      <c r="F440" s="2" t="s">
        <v>26</v>
      </c>
      <c r="G440" s="3" t="s">
        <v>4462</v>
      </c>
      <c r="H440" s="2" t="s">
        <v>4463</v>
      </c>
      <c r="I440" s="3" t="s">
        <v>29</v>
      </c>
      <c r="J440" s="3" t="s">
        <v>4464</v>
      </c>
      <c r="K440" s="3" t="s">
        <v>47</v>
      </c>
      <c r="L440" s="3" t="s">
        <v>167</v>
      </c>
      <c r="M440" s="3" t="s">
        <v>4465</v>
      </c>
      <c r="N440" s="3" t="s">
        <v>4466</v>
      </c>
      <c r="O440" s="3" t="s">
        <v>4467</v>
      </c>
      <c r="P440" s="3" t="s">
        <v>4468</v>
      </c>
      <c r="Q440" s="3" t="s">
        <v>4469</v>
      </c>
      <c r="R440" s="3" t="s">
        <v>4469</v>
      </c>
      <c r="S440" s="2" t="s">
        <v>3054</v>
      </c>
      <c r="T440" s="2" t="s">
        <v>39</v>
      </c>
      <c r="U440" s="2" t="s">
        <v>40</v>
      </c>
      <c r="V440" s="3"/>
    </row>
    <row r="441" spans="1:22">
      <c r="A441" s="2">
        <v>440</v>
      </c>
      <c r="B441" s="3" t="s">
        <v>4083</v>
      </c>
      <c r="C441" s="3" t="s">
        <v>4470</v>
      </c>
      <c r="D441" s="3" t="s">
        <v>4471</v>
      </c>
      <c r="E441" s="2" t="s">
        <v>621</v>
      </c>
      <c r="F441" s="2" t="s">
        <v>43</v>
      </c>
      <c r="G441" s="3" t="s">
        <v>4472</v>
      </c>
      <c r="H441" s="2" t="s">
        <v>4473</v>
      </c>
      <c r="I441" s="3" t="s">
        <v>29</v>
      </c>
      <c r="J441" s="3" t="s">
        <v>4474</v>
      </c>
      <c r="K441" s="3" t="s">
        <v>107</v>
      </c>
      <c r="L441" s="3" t="s">
        <v>132</v>
      </c>
      <c r="M441" s="3" t="s">
        <v>4475</v>
      </c>
      <c r="N441" s="3" t="s">
        <v>4476</v>
      </c>
      <c r="O441" s="3" t="s">
        <v>4477</v>
      </c>
      <c r="P441" s="3" t="s">
        <v>4478</v>
      </c>
      <c r="Q441" s="3" t="s">
        <v>4479</v>
      </c>
      <c r="R441" s="3" t="s">
        <v>4479</v>
      </c>
      <c r="S441" s="2" t="s">
        <v>3054</v>
      </c>
      <c r="T441" s="2" t="s">
        <v>39</v>
      </c>
      <c r="U441" s="2" t="s">
        <v>40</v>
      </c>
      <c r="V441" s="3"/>
    </row>
    <row r="442" spans="1:22">
      <c r="A442" s="2">
        <v>441</v>
      </c>
      <c r="B442" s="3" t="s">
        <v>4083</v>
      </c>
      <c r="C442" s="3" t="s">
        <v>4480</v>
      </c>
      <c r="D442" s="3" t="s">
        <v>4481</v>
      </c>
      <c r="E442" s="2" t="s">
        <v>103</v>
      </c>
      <c r="F442" s="2" t="s">
        <v>26</v>
      </c>
      <c r="G442" s="3" t="s">
        <v>4482</v>
      </c>
      <c r="H442" s="2" t="s">
        <v>4483</v>
      </c>
      <c r="I442" s="3" t="s">
        <v>29</v>
      </c>
      <c r="J442" s="3" t="s">
        <v>4484</v>
      </c>
      <c r="K442" s="3" t="s">
        <v>47</v>
      </c>
      <c r="L442" s="3" t="s">
        <v>323</v>
      </c>
      <c r="M442" s="3" t="s">
        <v>4485</v>
      </c>
      <c r="N442" s="3" t="s">
        <v>4486</v>
      </c>
      <c r="O442" s="3" t="s">
        <v>4487</v>
      </c>
      <c r="P442" s="3" t="s">
        <v>4488</v>
      </c>
      <c r="Q442" s="3" t="s">
        <v>4489</v>
      </c>
      <c r="R442" s="3" t="s">
        <v>4489</v>
      </c>
      <c r="S442" s="2" t="s">
        <v>3054</v>
      </c>
      <c r="T442" s="2" t="s">
        <v>39</v>
      </c>
      <c r="U442" s="2" t="s">
        <v>40</v>
      </c>
      <c r="V442" s="3"/>
    </row>
    <row r="443" spans="1:22">
      <c r="A443" s="2">
        <v>442</v>
      </c>
      <c r="B443" s="3" t="s">
        <v>4083</v>
      </c>
      <c r="C443" s="3" t="s">
        <v>4490</v>
      </c>
      <c r="D443" s="3" t="s">
        <v>4491</v>
      </c>
      <c r="E443" s="2" t="s">
        <v>913</v>
      </c>
      <c r="F443" s="2" t="s">
        <v>26</v>
      </c>
      <c r="G443" s="3" t="s">
        <v>4492</v>
      </c>
      <c r="H443" s="2" t="s">
        <v>4493</v>
      </c>
      <c r="I443" s="3" t="s">
        <v>29</v>
      </c>
      <c r="J443" s="3" t="s">
        <v>4494</v>
      </c>
      <c r="K443" s="3" t="s">
        <v>47</v>
      </c>
      <c r="L443" s="3" t="s">
        <v>167</v>
      </c>
      <c r="M443" s="3" t="s">
        <v>4495</v>
      </c>
      <c r="N443" s="3" t="s">
        <v>4496</v>
      </c>
      <c r="O443" s="3" t="s">
        <v>4497</v>
      </c>
      <c r="P443" s="3" t="s">
        <v>4498</v>
      </c>
      <c r="Q443" s="3" t="s">
        <v>4499</v>
      </c>
      <c r="R443" s="3" t="s">
        <v>4499</v>
      </c>
      <c r="S443" s="2" t="s">
        <v>3054</v>
      </c>
      <c r="T443" s="2" t="s">
        <v>39</v>
      </c>
      <c r="U443" s="2" t="s">
        <v>40</v>
      </c>
      <c r="V443" s="3"/>
    </row>
    <row r="444" spans="1:22">
      <c r="A444" s="2">
        <v>443</v>
      </c>
      <c r="B444" s="3" t="s">
        <v>4083</v>
      </c>
      <c r="C444" s="3" t="s">
        <v>4500</v>
      </c>
      <c r="D444" s="3" t="s">
        <v>4501</v>
      </c>
      <c r="E444" s="2" t="s">
        <v>81</v>
      </c>
      <c r="F444" s="2" t="s">
        <v>26</v>
      </c>
      <c r="G444" s="3" t="s">
        <v>4502</v>
      </c>
      <c r="H444" s="2" t="s">
        <v>4503</v>
      </c>
      <c r="I444" s="3" t="s">
        <v>29</v>
      </c>
      <c r="J444" s="3" t="s">
        <v>4504</v>
      </c>
      <c r="K444" s="3" t="s">
        <v>261</v>
      </c>
      <c r="L444" s="3" t="s">
        <v>32</v>
      </c>
      <c r="M444" s="3" t="s">
        <v>4505</v>
      </c>
      <c r="N444" s="3" t="s">
        <v>4506</v>
      </c>
      <c r="O444" s="3" t="s">
        <v>4507</v>
      </c>
      <c r="P444" s="3" t="s">
        <v>4508</v>
      </c>
      <c r="Q444" s="3" t="s">
        <v>4509</v>
      </c>
      <c r="R444" s="3" t="s">
        <v>4509</v>
      </c>
      <c r="S444" s="2" t="s">
        <v>3054</v>
      </c>
      <c r="T444" s="2" t="s">
        <v>39</v>
      </c>
      <c r="U444" s="2" t="s">
        <v>40</v>
      </c>
      <c r="V444" s="3"/>
    </row>
    <row r="445" spans="1:22">
      <c r="A445" s="2">
        <v>444</v>
      </c>
      <c r="B445" s="3" t="s">
        <v>4083</v>
      </c>
      <c r="C445" s="3" t="s">
        <v>4510</v>
      </c>
      <c r="D445" s="3" t="s">
        <v>4511</v>
      </c>
      <c r="E445" s="2" t="s">
        <v>621</v>
      </c>
      <c r="F445" s="2" t="s">
        <v>43</v>
      </c>
      <c r="G445" s="3" t="s">
        <v>4512</v>
      </c>
      <c r="H445" s="2" t="s">
        <v>4513</v>
      </c>
      <c r="I445" s="3" t="s">
        <v>29</v>
      </c>
      <c r="J445" s="3" t="s">
        <v>4514</v>
      </c>
      <c r="K445" s="3" t="s">
        <v>107</v>
      </c>
      <c r="L445" s="3" t="s">
        <v>32</v>
      </c>
      <c r="M445" s="3" t="s">
        <v>4515</v>
      </c>
      <c r="N445" s="3" t="s">
        <v>4516</v>
      </c>
      <c r="O445" s="3" t="s">
        <v>4517</v>
      </c>
      <c r="P445" s="3" t="s">
        <v>4518</v>
      </c>
      <c r="Q445" s="3" t="s">
        <v>4519</v>
      </c>
      <c r="R445" s="3" t="s">
        <v>4519</v>
      </c>
      <c r="S445" s="2" t="s">
        <v>3054</v>
      </c>
      <c r="T445" s="2" t="s">
        <v>39</v>
      </c>
      <c r="U445" s="2" t="s">
        <v>40</v>
      </c>
      <c r="V445" s="3"/>
    </row>
    <row r="446" spans="1:22">
      <c r="A446" s="2">
        <v>445</v>
      </c>
      <c r="B446" s="3" t="s">
        <v>4083</v>
      </c>
      <c r="C446" s="3" t="s">
        <v>4520</v>
      </c>
      <c r="D446" s="3" t="s">
        <v>4521</v>
      </c>
      <c r="E446" s="2" t="s">
        <v>506</v>
      </c>
      <c r="F446" s="2" t="s">
        <v>26</v>
      </c>
      <c r="G446" s="3" t="s">
        <v>4522</v>
      </c>
      <c r="H446" s="2" t="s">
        <v>4523</v>
      </c>
      <c r="I446" s="3" t="s">
        <v>29</v>
      </c>
      <c r="J446" s="3" t="s">
        <v>4524</v>
      </c>
      <c r="K446" s="3" t="s">
        <v>120</v>
      </c>
      <c r="L446" s="3" t="s">
        <v>132</v>
      </c>
      <c r="M446" s="3" t="s">
        <v>4525</v>
      </c>
      <c r="N446" s="3" t="s">
        <v>4526</v>
      </c>
      <c r="O446" s="3" t="s">
        <v>4527</v>
      </c>
      <c r="P446" s="3" t="s">
        <v>4528</v>
      </c>
      <c r="Q446" s="3" t="s">
        <v>4529</v>
      </c>
      <c r="R446" s="3" t="s">
        <v>4529</v>
      </c>
      <c r="S446" s="2" t="s">
        <v>3054</v>
      </c>
      <c r="T446" s="2" t="s">
        <v>39</v>
      </c>
      <c r="U446" s="2" t="s">
        <v>40</v>
      </c>
      <c r="V446" s="3"/>
    </row>
    <row r="447" spans="1:22">
      <c r="A447" s="2">
        <v>446</v>
      </c>
      <c r="B447" s="3" t="s">
        <v>4083</v>
      </c>
      <c r="C447" s="3" t="s">
        <v>4530</v>
      </c>
      <c r="D447" s="3" t="s">
        <v>4531</v>
      </c>
      <c r="E447" s="2" t="s">
        <v>69</v>
      </c>
      <c r="F447" s="2" t="s">
        <v>43</v>
      </c>
      <c r="G447" s="3" t="s">
        <v>4532</v>
      </c>
      <c r="H447" s="2" t="s">
        <v>4533</v>
      </c>
      <c r="I447" s="3" t="s">
        <v>29</v>
      </c>
      <c r="J447" s="3" t="s">
        <v>4534</v>
      </c>
      <c r="K447" s="3" t="s">
        <v>47</v>
      </c>
      <c r="L447" s="3" t="s">
        <v>293</v>
      </c>
      <c r="M447" s="3" t="s">
        <v>4535</v>
      </c>
      <c r="N447" s="3" t="s">
        <v>4536</v>
      </c>
      <c r="O447" s="3" t="s">
        <v>4537</v>
      </c>
      <c r="P447" s="3" t="s">
        <v>4538</v>
      </c>
      <c r="Q447" s="3" t="s">
        <v>4539</v>
      </c>
      <c r="R447" s="3" t="s">
        <v>4539</v>
      </c>
      <c r="S447" s="2" t="s">
        <v>3054</v>
      </c>
      <c r="T447" s="2" t="s">
        <v>39</v>
      </c>
      <c r="U447" s="2" t="s">
        <v>40</v>
      </c>
      <c r="V447" s="3"/>
    </row>
    <row r="448" spans="1:22">
      <c r="A448" s="2">
        <v>447</v>
      </c>
      <c r="B448" s="3" t="s">
        <v>4083</v>
      </c>
      <c r="C448" s="3" t="s">
        <v>4540</v>
      </c>
      <c r="D448" s="3" t="s">
        <v>4541</v>
      </c>
      <c r="E448" s="2" t="s">
        <v>81</v>
      </c>
      <c r="F448" s="2" t="s">
        <v>26</v>
      </c>
      <c r="G448" s="3" t="s">
        <v>4542</v>
      </c>
      <c r="H448" s="2" t="s">
        <v>4543</v>
      </c>
      <c r="I448" s="3" t="s">
        <v>29</v>
      </c>
      <c r="J448" s="3" t="s">
        <v>4544</v>
      </c>
      <c r="K448" s="3" t="s">
        <v>47</v>
      </c>
      <c r="L448" s="3" t="s">
        <v>167</v>
      </c>
      <c r="M448" s="3" t="s">
        <v>4545</v>
      </c>
      <c r="N448" s="3" t="s">
        <v>4546</v>
      </c>
      <c r="O448" s="3" t="s">
        <v>4547</v>
      </c>
      <c r="P448" s="3" t="s">
        <v>4548</v>
      </c>
      <c r="Q448" s="3" t="s">
        <v>4549</v>
      </c>
      <c r="R448" s="3" t="s">
        <v>4549</v>
      </c>
      <c r="S448" s="2" t="s">
        <v>3054</v>
      </c>
      <c r="T448" s="2" t="s">
        <v>39</v>
      </c>
      <c r="U448" s="2" t="s">
        <v>40</v>
      </c>
      <c r="V448" s="3"/>
    </row>
    <row r="449" spans="1:22">
      <c r="A449" s="2">
        <v>448</v>
      </c>
      <c r="B449" s="3" t="s">
        <v>4083</v>
      </c>
      <c r="C449" s="3" t="s">
        <v>4550</v>
      </c>
      <c r="D449" s="3" t="s">
        <v>4551</v>
      </c>
      <c r="E449" s="2" t="s">
        <v>56</v>
      </c>
      <c r="F449" s="2" t="s">
        <v>26</v>
      </c>
      <c r="G449" s="3" t="s">
        <v>4552</v>
      </c>
      <c r="H449" s="2" t="s">
        <v>4553</v>
      </c>
      <c r="I449" s="3" t="s">
        <v>29</v>
      </c>
      <c r="J449" s="3" t="s">
        <v>4554</v>
      </c>
      <c r="K449" s="3" t="s">
        <v>47</v>
      </c>
      <c r="L449" s="3" t="s">
        <v>293</v>
      </c>
      <c r="M449" s="3" t="s">
        <v>4555</v>
      </c>
      <c r="N449" s="3" t="s">
        <v>4556</v>
      </c>
      <c r="O449" s="3" t="s">
        <v>4557</v>
      </c>
      <c r="P449" s="3" t="s">
        <v>4558</v>
      </c>
      <c r="Q449" s="3" t="s">
        <v>4559</v>
      </c>
      <c r="R449" s="3" t="s">
        <v>4559</v>
      </c>
      <c r="S449" s="2" t="s">
        <v>3054</v>
      </c>
      <c r="T449" s="2" t="s">
        <v>39</v>
      </c>
      <c r="U449" s="2" t="s">
        <v>40</v>
      </c>
      <c r="V449" s="3"/>
    </row>
    <row r="450" spans="1:22">
      <c r="A450" s="2">
        <v>449</v>
      </c>
      <c r="B450" s="3" t="s">
        <v>4083</v>
      </c>
      <c r="C450" s="3" t="s">
        <v>4560</v>
      </c>
      <c r="D450" s="3" t="s">
        <v>4561</v>
      </c>
      <c r="E450" s="2" t="s">
        <v>185</v>
      </c>
      <c r="F450" s="2" t="s">
        <v>43</v>
      </c>
      <c r="G450" s="3" t="s">
        <v>4562</v>
      </c>
      <c r="H450" s="2" t="s">
        <v>4563</v>
      </c>
      <c r="I450" s="3" t="s">
        <v>29</v>
      </c>
      <c r="J450" s="3" t="s">
        <v>4564</v>
      </c>
      <c r="K450" s="3" t="s">
        <v>47</v>
      </c>
      <c r="L450" s="3" t="s">
        <v>323</v>
      </c>
      <c r="M450" s="3" t="s">
        <v>4565</v>
      </c>
      <c r="N450" s="3" t="s">
        <v>4566</v>
      </c>
      <c r="O450" s="3" t="s">
        <v>4567</v>
      </c>
      <c r="P450" s="3" t="s">
        <v>4568</v>
      </c>
      <c r="Q450" s="3" t="s">
        <v>4569</v>
      </c>
      <c r="R450" s="3" t="s">
        <v>4569</v>
      </c>
      <c r="S450" s="2" t="s">
        <v>3054</v>
      </c>
      <c r="T450" s="2" t="s">
        <v>39</v>
      </c>
      <c r="U450" s="2" t="s">
        <v>40</v>
      </c>
      <c r="V450" s="3"/>
    </row>
    <row r="451" spans="1:22">
      <c r="A451" s="2">
        <v>450</v>
      </c>
      <c r="B451" s="3" t="s">
        <v>4083</v>
      </c>
      <c r="C451" s="3" t="s">
        <v>4570</v>
      </c>
      <c r="D451" s="3" t="s">
        <v>4571</v>
      </c>
      <c r="E451" s="2" t="s">
        <v>1017</v>
      </c>
      <c r="F451" s="2" t="s">
        <v>26</v>
      </c>
      <c r="G451" s="3" t="s">
        <v>4572</v>
      </c>
      <c r="H451" s="2" t="s">
        <v>4573</v>
      </c>
      <c r="I451" s="3" t="s">
        <v>29</v>
      </c>
      <c r="J451" s="3" t="s">
        <v>4574</v>
      </c>
      <c r="K451" s="3" t="s">
        <v>47</v>
      </c>
      <c r="L451" s="3" t="s">
        <v>167</v>
      </c>
      <c r="M451" s="3" t="s">
        <v>4575</v>
      </c>
      <c r="N451" s="3" t="s">
        <v>4576</v>
      </c>
      <c r="O451" s="3" t="s">
        <v>4577</v>
      </c>
      <c r="P451" s="3" t="s">
        <v>4578</v>
      </c>
      <c r="Q451" s="3" t="s">
        <v>4579</v>
      </c>
      <c r="R451" s="3" t="s">
        <v>4579</v>
      </c>
      <c r="S451" s="2" t="s">
        <v>3054</v>
      </c>
      <c r="T451" s="2" t="s">
        <v>39</v>
      </c>
      <c r="U451" s="2" t="s">
        <v>40</v>
      </c>
      <c r="V451" s="3"/>
    </row>
    <row r="452" spans="1:22">
      <c r="A452" s="2">
        <v>451</v>
      </c>
      <c r="B452" s="3" t="s">
        <v>4580</v>
      </c>
      <c r="C452" s="3" t="s">
        <v>4581</v>
      </c>
      <c r="D452" s="3" t="s">
        <v>4582</v>
      </c>
      <c r="E452" s="2" t="s">
        <v>25</v>
      </c>
      <c r="F452" s="2" t="s">
        <v>43</v>
      </c>
      <c r="G452" s="3" t="s">
        <v>4583</v>
      </c>
      <c r="H452" s="2" t="s">
        <v>4584</v>
      </c>
      <c r="I452" s="3" t="s">
        <v>29</v>
      </c>
      <c r="J452" s="3" t="s">
        <v>4585</v>
      </c>
      <c r="K452" s="3" t="s">
        <v>272</v>
      </c>
      <c r="L452" s="3" t="s">
        <v>132</v>
      </c>
      <c r="M452" s="3" t="s">
        <v>4586</v>
      </c>
      <c r="N452" s="3" t="s">
        <v>4587</v>
      </c>
      <c r="O452" s="3" t="s">
        <v>4588</v>
      </c>
      <c r="P452" s="3" t="s">
        <v>4589</v>
      </c>
      <c r="Q452" s="3" t="s">
        <v>4590</v>
      </c>
      <c r="R452" s="3" t="s">
        <v>4590</v>
      </c>
      <c r="S452" s="2" t="s">
        <v>3054</v>
      </c>
      <c r="T452" s="2" t="s">
        <v>39</v>
      </c>
      <c r="U452" s="2" t="s">
        <v>40</v>
      </c>
      <c r="V452" s="3"/>
    </row>
    <row r="453" spans="1:22">
      <c r="A453" s="2">
        <v>452</v>
      </c>
      <c r="B453" s="3" t="s">
        <v>4580</v>
      </c>
      <c r="C453" s="3" t="s">
        <v>4591</v>
      </c>
      <c r="D453" s="3" t="s">
        <v>4592</v>
      </c>
      <c r="E453" s="2" t="s">
        <v>257</v>
      </c>
      <c r="F453" s="2" t="s">
        <v>26</v>
      </c>
      <c r="G453" s="3" t="s">
        <v>4593</v>
      </c>
      <c r="H453" s="2" t="s">
        <v>4594</v>
      </c>
      <c r="I453" s="3" t="s">
        <v>29</v>
      </c>
      <c r="J453" s="3" t="s">
        <v>4595</v>
      </c>
      <c r="K453" s="3" t="s">
        <v>47</v>
      </c>
      <c r="L453" s="3" t="s">
        <v>293</v>
      </c>
      <c r="M453" s="3" t="s">
        <v>4596</v>
      </c>
      <c r="N453" s="3" t="s">
        <v>4597</v>
      </c>
      <c r="O453" s="3" t="s">
        <v>4598</v>
      </c>
      <c r="P453" s="3" t="s">
        <v>4599</v>
      </c>
      <c r="Q453" s="3" t="s">
        <v>4600</v>
      </c>
      <c r="R453" s="3" t="s">
        <v>4600</v>
      </c>
      <c r="S453" s="2" t="s">
        <v>3054</v>
      </c>
      <c r="T453" s="2" t="s">
        <v>39</v>
      </c>
      <c r="U453" s="2" t="s">
        <v>40</v>
      </c>
      <c r="V453" s="3"/>
    </row>
    <row r="454" spans="1:22">
      <c r="A454" s="2">
        <v>453</v>
      </c>
      <c r="B454" s="3" t="s">
        <v>4580</v>
      </c>
      <c r="C454" s="3" t="s">
        <v>4601</v>
      </c>
      <c r="D454" s="3" t="s">
        <v>4602</v>
      </c>
      <c r="E454" s="2" t="s">
        <v>25</v>
      </c>
      <c r="F454" s="2" t="s">
        <v>26</v>
      </c>
      <c r="G454" s="3" t="s">
        <v>4603</v>
      </c>
      <c r="H454" s="2" t="s">
        <v>4604</v>
      </c>
      <c r="I454" s="3" t="s">
        <v>29</v>
      </c>
      <c r="J454" s="3" t="s">
        <v>4605</v>
      </c>
      <c r="K454" s="3" t="s">
        <v>47</v>
      </c>
      <c r="L454" s="3" t="s">
        <v>293</v>
      </c>
      <c r="M454" s="3" t="s">
        <v>4606</v>
      </c>
      <c r="N454" s="3" t="s">
        <v>4607</v>
      </c>
      <c r="O454" s="3" t="s">
        <v>4608</v>
      </c>
      <c r="P454" s="3" t="s">
        <v>4609</v>
      </c>
      <c r="Q454" s="3" t="s">
        <v>4610</v>
      </c>
      <c r="R454" s="3" t="s">
        <v>4610</v>
      </c>
      <c r="S454" s="2" t="s">
        <v>3054</v>
      </c>
      <c r="T454" s="2" t="s">
        <v>39</v>
      </c>
      <c r="U454" s="2" t="s">
        <v>40</v>
      </c>
      <c r="V454" s="3"/>
    </row>
    <row r="455" spans="1:22">
      <c r="A455" s="2">
        <v>454</v>
      </c>
      <c r="B455" s="3" t="s">
        <v>4580</v>
      </c>
      <c r="C455" s="3" t="s">
        <v>4611</v>
      </c>
      <c r="D455" s="3" t="s">
        <v>4612</v>
      </c>
      <c r="E455" s="2" t="s">
        <v>25</v>
      </c>
      <c r="F455" s="2" t="s">
        <v>26</v>
      </c>
      <c r="G455" s="3" t="s">
        <v>4613</v>
      </c>
      <c r="H455" s="2" t="s">
        <v>4614</v>
      </c>
      <c r="I455" s="3" t="s">
        <v>29</v>
      </c>
      <c r="J455" s="3" t="s">
        <v>4615</v>
      </c>
      <c r="K455" s="3" t="s">
        <v>47</v>
      </c>
      <c r="L455" s="3" t="s">
        <v>323</v>
      </c>
      <c r="M455" s="3" t="s">
        <v>4616</v>
      </c>
      <c r="N455" s="3" t="s">
        <v>4617</v>
      </c>
      <c r="O455" s="3" t="s">
        <v>4618</v>
      </c>
      <c r="P455" s="3" t="s">
        <v>4619</v>
      </c>
      <c r="Q455" s="3" t="s">
        <v>4620</v>
      </c>
      <c r="R455" s="3" t="s">
        <v>4620</v>
      </c>
      <c r="S455" s="2" t="s">
        <v>3054</v>
      </c>
      <c r="T455" s="2" t="s">
        <v>39</v>
      </c>
      <c r="U455" s="2" t="s">
        <v>40</v>
      </c>
      <c r="V455" s="3"/>
    </row>
    <row r="456" spans="1:22">
      <c r="A456" s="2">
        <v>455</v>
      </c>
      <c r="B456" s="3" t="s">
        <v>4580</v>
      </c>
      <c r="C456" s="3" t="s">
        <v>4621</v>
      </c>
      <c r="D456" s="3" t="s">
        <v>4622</v>
      </c>
      <c r="E456" s="2" t="s">
        <v>984</v>
      </c>
      <c r="F456" s="2" t="s">
        <v>26</v>
      </c>
      <c r="G456" s="3" t="s">
        <v>4623</v>
      </c>
      <c r="H456" s="2" t="s">
        <v>4624</v>
      </c>
      <c r="I456" s="3" t="s">
        <v>29</v>
      </c>
      <c r="J456" s="3" t="s">
        <v>875</v>
      </c>
      <c r="K456" s="3" t="s">
        <v>47</v>
      </c>
      <c r="L456" s="3" t="s">
        <v>132</v>
      </c>
      <c r="M456" s="3" t="s">
        <v>230</v>
      </c>
      <c r="N456" s="3" t="s">
        <v>4625</v>
      </c>
      <c r="O456" s="3" t="s">
        <v>4626</v>
      </c>
      <c r="P456" s="3" t="s">
        <v>4627</v>
      </c>
      <c r="Q456" s="3" t="s">
        <v>4628</v>
      </c>
      <c r="R456" s="3" t="s">
        <v>4628</v>
      </c>
      <c r="S456" s="2" t="s">
        <v>3054</v>
      </c>
      <c r="T456" s="2" t="s">
        <v>39</v>
      </c>
      <c r="U456" s="2" t="s">
        <v>40</v>
      </c>
      <c r="V456" s="3"/>
    </row>
    <row r="457" spans="1:22">
      <c r="A457" s="2">
        <v>456</v>
      </c>
      <c r="B457" s="3" t="s">
        <v>4580</v>
      </c>
      <c r="C457" s="3" t="s">
        <v>4629</v>
      </c>
      <c r="D457" s="3" t="s">
        <v>4630</v>
      </c>
      <c r="E457" s="2" t="s">
        <v>69</v>
      </c>
      <c r="F457" s="2" t="s">
        <v>26</v>
      </c>
      <c r="G457" s="3" t="s">
        <v>4631</v>
      </c>
      <c r="H457" s="2" t="s">
        <v>4632</v>
      </c>
      <c r="I457" s="3" t="s">
        <v>29</v>
      </c>
      <c r="J457" s="3" t="s">
        <v>4633</v>
      </c>
      <c r="K457" s="3" t="s">
        <v>47</v>
      </c>
      <c r="L457" s="3" t="s">
        <v>293</v>
      </c>
      <c r="M457" s="3" t="s">
        <v>4634</v>
      </c>
      <c r="N457" s="3" t="s">
        <v>4635</v>
      </c>
      <c r="O457" s="3" t="s">
        <v>4636</v>
      </c>
      <c r="P457" s="3" t="s">
        <v>4637</v>
      </c>
      <c r="Q457" s="3" t="s">
        <v>4638</v>
      </c>
      <c r="R457" s="3" t="s">
        <v>4638</v>
      </c>
      <c r="S457" s="2" t="s">
        <v>3054</v>
      </c>
      <c r="T457" s="2" t="s">
        <v>39</v>
      </c>
      <c r="U457" s="2" t="s">
        <v>40</v>
      </c>
      <c r="V457" s="3"/>
    </row>
    <row r="458" spans="1:22">
      <c r="A458" s="2">
        <v>457</v>
      </c>
      <c r="B458" s="3" t="s">
        <v>4580</v>
      </c>
      <c r="C458" s="3" t="s">
        <v>4639</v>
      </c>
      <c r="D458" s="3" t="s">
        <v>4640</v>
      </c>
      <c r="E458" s="2" t="s">
        <v>506</v>
      </c>
      <c r="F458" s="2" t="s">
        <v>26</v>
      </c>
      <c r="G458" s="3" t="s">
        <v>4641</v>
      </c>
      <c r="H458" s="2" t="s">
        <v>4642</v>
      </c>
      <c r="I458" s="3" t="s">
        <v>29</v>
      </c>
      <c r="J458" s="3" t="s">
        <v>4643</v>
      </c>
      <c r="K458" s="3" t="s">
        <v>261</v>
      </c>
      <c r="L458" s="3" t="s">
        <v>32</v>
      </c>
      <c r="M458" s="3" t="s">
        <v>4644</v>
      </c>
      <c r="N458" s="3" t="s">
        <v>4645</v>
      </c>
      <c r="O458" s="3" t="s">
        <v>4646</v>
      </c>
      <c r="P458" s="3" t="s">
        <v>4647</v>
      </c>
      <c r="Q458" s="3" t="s">
        <v>4648</v>
      </c>
      <c r="R458" s="3" t="s">
        <v>4648</v>
      </c>
      <c r="S458" s="2" t="s">
        <v>3054</v>
      </c>
      <c r="T458" s="2" t="s">
        <v>39</v>
      </c>
      <c r="U458" s="2" t="s">
        <v>40</v>
      </c>
      <c r="V458" s="3"/>
    </row>
    <row r="459" spans="1:22">
      <c r="A459" s="2">
        <v>458</v>
      </c>
      <c r="B459" s="3" t="s">
        <v>4580</v>
      </c>
      <c r="C459" s="3" t="s">
        <v>4649</v>
      </c>
      <c r="D459" s="3" t="s">
        <v>4650</v>
      </c>
      <c r="E459" s="2" t="s">
        <v>206</v>
      </c>
      <c r="F459" s="2" t="s">
        <v>26</v>
      </c>
      <c r="G459" s="3" t="s">
        <v>4651</v>
      </c>
      <c r="H459" s="2" t="s">
        <v>4652</v>
      </c>
      <c r="I459" s="3" t="s">
        <v>29</v>
      </c>
      <c r="J459" s="3" t="s">
        <v>4653</v>
      </c>
      <c r="K459" s="3" t="s">
        <v>47</v>
      </c>
      <c r="L459" s="3" t="s">
        <v>108</v>
      </c>
      <c r="M459" s="3" t="s">
        <v>4654</v>
      </c>
      <c r="N459" s="3" t="s">
        <v>4655</v>
      </c>
      <c r="O459" s="3" t="s">
        <v>4656</v>
      </c>
      <c r="P459" s="3" t="s">
        <v>4657</v>
      </c>
      <c r="Q459" s="3" t="s">
        <v>4658</v>
      </c>
      <c r="R459" s="3" t="s">
        <v>4658</v>
      </c>
      <c r="S459" s="2" t="s">
        <v>3054</v>
      </c>
      <c r="T459" s="2" t="s">
        <v>39</v>
      </c>
      <c r="U459" s="2" t="s">
        <v>40</v>
      </c>
      <c r="V459" s="3"/>
    </row>
    <row r="460" spans="1:22">
      <c r="A460" s="2">
        <v>459</v>
      </c>
      <c r="B460" s="3" t="s">
        <v>4580</v>
      </c>
      <c r="C460" s="3" t="s">
        <v>4659</v>
      </c>
      <c r="D460" s="3" t="s">
        <v>4660</v>
      </c>
      <c r="E460" s="2" t="s">
        <v>103</v>
      </c>
      <c r="F460" s="2" t="s">
        <v>26</v>
      </c>
      <c r="G460" s="3" t="s">
        <v>4661</v>
      </c>
      <c r="H460" s="2" t="s">
        <v>4662</v>
      </c>
      <c r="I460" s="3" t="s">
        <v>29</v>
      </c>
      <c r="J460" s="3" t="s">
        <v>4663</v>
      </c>
      <c r="K460" s="3" t="s">
        <v>47</v>
      </c>
      <c r="L460" s="3" t="s">
        <v>132</v>
      </c>
      <c r="M460" s="3" t="s">
        <v>4664</v>
      </c>
      <c r="N460" s="3" t="s">
        <v>4665</v>
      </c>
      <c r="O460" s="3" t="s">
        <v>4666</v>
      </c>
      <c r="P460" s="3" t="s">
        <v>4667</v>
      </c>
      <c r="Q460" s="3" t="s">
        <v>4668</v>
      </c>
      <c r="R460" s="3" t="s">
        <v>4668</v>
      </c>
      <c r="S460" s="2" t="s">
        <v>3054</v>
      </c>
      <c r="T460" s="2" t="s">
        <v>39</v>
      </c>
      <c r="U460" s="2" t="s">
        <v>40</v>
      </c>
      <c r="V460" s="3"/>
    </row>
    <row r="461" spans="1:22">
      <c r="A461" s="2">
        <v>460</v>
      </c>
      <c r="B461" s="3" t="s">
        <v>4580</v>
      </c>
      <c r="C461" s="3" t="s">
        <v>4669</v>
      </c>
      <c r="D461" s="3" t="s">
        <v>4670</v>
      </c>
      <c r="E461" s="2" t="s">
        <v>69</v>
      </c>
      <c r="F461" s="2" t="s">
        <v>26</v>
      </c>
      <c r="G461" s="3" t="s">
        <v>4671</v>
      </c>
      <c r="H461" s="2" t="s">
        <v>4672</v>
      </c>
      <c r="I461" s="3" t="s">
        <v>29</v>
      </c>
      <c r="J461" s="3" t="s">
        <v>4673</v>
      </c>
      <c r="K461" s="3" t="s">
        <v>47</v>
      </c>
      <c r="L461" s="3" t="s">
        <v>293</v>
      </c>
      <c r="M461" s="3" t="s">
        <v>4674</v>
      </c>
      <c r="N461" s="3" t="s">
        <v>4675</v>
      </c>
      <c r="O461" s="3" t="s">
        <v>4676</v>
      </c>
      <c r="P461" s="3" t="s">
        <v>4677</v>
      </c>
      <c r="Q461" s="3" t="s">
        <v>4678</v>
      </c>
      <c r="R461" s="3" t="s">
        <v>4678</v>
      </c>
      <c r="S461" s="2" t="s">
        <v>3054</v>
      </c>
      <c r="T461" s="2" t="s">
        <v>39</v>
      </c>
      <c r="U461" s="2" t="s">
        <v>40</v>
      </c>
      <c r="V461" s="3"/>
    </row>
    <row r="462" spans="1:22">
      <c r="A462" s="2">
        <v>461</v>
      </c>
      <c r="B462" s="3" t="s">
        <v>4580</v>
      </c>
      <c r="C462" s="3" t="s">
        <v>4679</v>
      </c>
      <c r="D462" s="3" t="s">
        <v>4680</v>
      </c>
      <c r="E462" s="2" t="s">
        <v>116</v>
      </c>
      <c r="F462" s="2" t="s">
        <v>26</v>
      </c>
      <c r="G462" s="3" t="s">
        <v>4681</v>
      </c>
      <c r="H462" s="2" t="s">
        <v>4682</v>
      </c>
      <c r="I462" s="3" t="s">
        <v>29</v>
      </c>
      <c r="J462" s="3" t="s">
        <v>4683</v>
      </c>
      <c r="K462" s="3" t="s">
        <v>47</v>
      </c>
      <c r="L462" s="3" t="s">
        <v>323</v>
      </c>
      <c r="M462" s="3" t="s">
        <v>4684</v>
      </c>
      <c r="N462" s="3" t="s">
        <v>4685</v>
      </c>
      <c r="O462" s="3" t="s">
        <v>4686</v>
      </c>
      <c r="P462" s="3" t="s">
        <v>4687</v>
      </c>
      <c r="Q462" s="3" t="s">
        <v>4688</v>
      </c>
      <c r="R462" s="3" t="s">
        <v>4688</v>
      </c>
      <c r="S462" s="2" t="s">
        <v>3054</v>
      </c>
      <c r="T462" s="2" t="s">
        <v>39</v>
      </c>
      <c r="U462" s="2" t="s">
        <v>40</v>
      </c>
      <c r="V462" s="3"/>
    </row>
    <row r="463" spans="1:22">
      <c r="A463" s="2">
        <v>462</v>
      </c>
      <c r="B463" s="3" t="s">
        <v>4580</v>
      </c>
      <c r="C463" s="3" t="s">
        <v>4689</v>
      </c>
      <c r="D463" s="3" t="s">
        <v>4690</v>
      </c>
      <c r="E463" s="2" t="s">
        <v>103</v>
      </c>
      <c r="F463" s="2" t="s">
        <v>26</v>
      </c>
      <c r="G463" s="3" t="s">
        <v>4691</v>
      </c>
      <c r="H463" s="2" t="s">
        <v>4692</v>
      </c>
      <c r="I463" s="3" t="s">
        <v>29</v>
      </c>
      <c r="J463" s="3" t="s">
        <v>4693</v>
      </c>
      <c r="K463" s="3" t="s">
        <v>47</v>
      </c>
      <c r="L463" s="3" t="s">
        <v>167</v>
      </c>
      <c r="M463" s="3" t="s">
        <v>4694</v>
      </c>
      <c r="N463" s="3" t="s">
        <v>4695</v>
      </c>
      <c r="O463" s="3" t="s">
        <v>4696</v>
      </c>
      <c r="P463" s="3" t="s">
        <v>4697</v>
      </c>
      <c r="Q463" s="3" t="s">
        <v>4698</v>
      </c>
      <c r="R463" s="3" t="s">
        <v>4698</v>
      </c>
      <c r="S463" s="2" t="s">
        <v>3054</v>
      </c>
      <c r="T463" s="2" t="s">
        <v>39</v>
      </c>
      <c r="U463" s="2" t="s">
        <v>40</v>
      </c>
      <c r="V463" s="3"/>
    </row>
    <row r="464" spans="1:22">
      <c r="A464" s="2">
        <v>463</v>
      </c>
      <c r="B464" s="3" t="s">
        <v>4580</v>
      </c>
      <c r="C464" s="3" t="s">
        <v>4699</v>
      </c>
      <c r="D464" s="3" t="s">
        <v>4700</v>
      </c>
      <c r="E464" s="2" t="s">
        <v>506</v>
      </c>
      <c r="F464" s="2" t="s">
        <v>43</v>
      </c>
      <c r="G464" s="3" t="s">
        <v>4701</v>
      </c>
      <c r="H464" s="2" t="s">
        <v>4702</v>
      </c>
      <c r="I464" s="3" t="s">
        <v>29</v>
      </c>
      <c r="J464" s="3" t="s">
        <v>4703</v>
      </c>
      <c r="K464" s="3" t="s">
        <v>272</v>
      </c>
      <c r="L464" s="3" t="s">
        <v>167</v>
      </c>
      <c r="M464" s="3" t="s">
        <v>4704</v>
      </c>
      <c r="N464" s="3" t="s">
        <v>4705</v>
      </c>
      <c r="O464" s="3" t="s">
        <v>4706</v>
      </c>
      <c r="P464" s="3" t="s">
        <v>4707</v>
      </c>
      <c r="Q464" s="3" t="s">
        <v>4708</v>
      </c>
      <c r="R464" s="3" t="s">
        <v>4708</v>
      </c>
      <c r="S464" s="2" t="s">
        <v>3054</v>
      </c>
      <c r="T464" s="2" t="s">
        <v>39</v>
      </c>
      <c r="U464" s="2" t="s">
        <v>40</v>
      </c>
      <c r="V464" s="3"/>
    </row>
    <row r="465" spans="1:22">
      <c r="A465" s="2">
        <v>464</v>
      </c>
      <c r="B465" s="3" t="s">
        <v>4580</v>
      </c>
      <c r="C465" s="3" t="s">
        <v>4709</v>
      </c>
      <c r="D465" s="3" t="s">
        <v>4710</v>
      </c>
      <c r="E465" s="2" t="s">
        <v>206</v>
      </c>
      <c r="F465" s="2" t="s">
        <v>26</v>
      </c>
      <c r="G465" s="3" t="s">
        <v>4711</v>
      </c>
      <c r="H465" s="2" t="s">
        <v>4712</v>
      </c>
      <c r="I465" s="3" t="s">
        <v>29</v>
      </c>
      <c r="J465" s="3" t="s">
        <v>4713</v>
      </c>
      <c r="K465" s="3" t="s">
        <v>31</v>
      </c>
      <c r="L465" s="3" t="s">
        <v>167</v>
      </c>
      <c r="M465" s="3" t="s">
        <v>4714</v>
      </c>
      <c r="N465" s="3" t="s">
        <v>4715</v>
      </c>
      <c r="O465" s="3" t="s">
        <v>4716</v>
      </c>
      <c r="P465" s="3" t="s">
        <v>4717</v>
      </c>
      <c r="Q465" s="3" t="s">
        <v>4718</v>
      </c>
      <c r="R465" s="3" t="s">
        <v>4718</v>
      </c>
      <c r="S465" s="2" t="s">
        <v>3054</v>
      </c>
      <c r="T465" s="2" t="s">
        <v>39</v>
      </c>
      <c r="U465" s="2" t="s">
        <v>40</v>
      </c>
      <c r="V465" s="3"/>
    </row>
    <row r="466" spans="1:22">
      <c r="A466" s="2">
        <v>465</v>
      </c>
      <c r="B466" s="3" t="s">
        <v>4580</v>
      </c>
      <c r="C466" s="3" t="s">
        <v>4719</v>
      </c>
      <c r="D466" s="3" t="s">
        <v>4720</v>
      </c>
      <c r="E466" s="2" t="s">
        <v>116</v>
      </c>
      <c r="F466" s="2" t="s">
        <v>26</v>
      </c>
      <c r="G466" s="3" t="s">
        <v>4721</v>
      </c>
      <c r="H466" s="2" t="s">
        <v>4722</v>
      </c>
      <c r="I466" s="3" t="s">
        <v>29</v>
      </c>
      <c r="J466" s="3" t="s">
        <v>4723</v>
      </c>
      <c r="K466" s="3" t="s">
        <v>47</v>
      </c>
      <c r="L466" s="3" t="s">
        <v>132</v>
      </c>
      <c r="M466" s="3" t="s">
        <v>4724</v>
      </c>
      <c r="N466" s="3" t="s">
        <v>4725</v>
      </c>
      <c r="O466" s="3" t="s">
        <v>4726</v>
      </c>
      <c r="P466" s="3" t="s">
        <v>4727</v>
      </c>
      <c r="Q466" s="3" t="s">
        <v>4728</v>
      </c>
      <c r="R466" s="3" t="s">
        <v>4728</v>
      </c>
      <c r="S466" s="2" t="s">
        <v>3054</v>
      </c>
      <c r="T466" s="2" t="s">
        <v>39</v>
      </c>
      <c r="U466" s="2" t="s">
        <v>40</v>
      </c>
      <c r="V466" s="3"/>
    </row>
    <row r="467" spans="1:22">
      <c r="A467" s="2">
        <v>466</v>
      </c>
      <c r="B467" s="3" t="s">
        <v>4580</v>
      </c>
      <c r="C467" s="3" t="s">
        <v>4729</v>
      </c>
      <c r="D467" s="3" t="s">
        <v>4730</v>
      </c>
      <c r="E467" s="2" t="s">
        <v>69</v>
      </c>
      <c r="F467" s="2" t="s">
        <v>26</v>
      </c>
      <c r="G467" s="3" t="s">
        <v>4731</v>
      </c>
      <c r="H467" s="2" t="s">
        <v>4732</v>
      </c>
      <c r="I467" s="3" t="s">
        <v>29</v>
      </c>
      <c r="J467" s="3" t="s">
        <v>4733</v>
      </c>
      <c r="K467" s="3" t="s">
        <v>47</v>
      </c>
      <c r="L467" s="3" t="s">
        <v>132</v>
      </c>
      <c r="M467" s="3" t="s">
        <v>4734</v>
      </c>
      <c r="N467" s="3" t="s">
        <v>4735</v>
      </c>
      <c r="O467" s="3" t="s">
        <v>4736</v>
      </c>
      <c r="P467" s="3" t="s">
        <v>4737</v>
      </c>
      <c r="Q467" s="3" t="s">
        <v>4738</v>
      </c>
      <c r="R467" s="3" t="s">
        <v>4738</v>
      </c>
      <c r="S467" s="2" t="s">
        <v>3054</v>
      </c>
      <c r="T467" s="2" t="s">
        <v>39</v>
      </c>
      <c r="U467" s="2" t="s">
        <v>40</v>
      </c>
      <c r="V467" s="3"/>
    </row>
    <row r="468" spans="1:22">
      <c r="A468" s="2">
        <v>467</v>
      </c>
      <c r="B468" s="3" t="s">
        <v>4580</v>
      </c>
      <c r="C468" s="3" t="s">
        <v>4739</v>
      </c>
      <c r="D468" s="3" t="s">
        <v>4740</v>
      </c>
      <c r="E468" s="2" t="s">
        <v>69</v>
      </c>
      <c r="F468" s="2" t="s">
        <v>26</v>
      </c>
      <c r="G468" s="3" t="s">
        <v>4741</v>
      </c>
      <c r="H468" s="2" t="s">
        <v>4742</v>
      </c>
      <c r="I468" s="3" t="s">
        <v>29</v>
      </c>
      <c r="J468" s="3" t="s">
        <v>4743</v>
      </c>
      <c r="K468" s="3" t="s">
        <v>47</v>
      </c>
      <c r="L468" s="3" t="s">
        <v>73</v>
      </c>
      <c r="M468" s="3" t="s">
        <v>4744</v>
      </c>
      <c r="N468" s="3" t="s">
        <v>4745</v>
      </c>
      <c r="O468" s="3" t="s">
        <v>4746</v>
      </c>
      <c r="P468" s="3" t="s">
        <v>4747</v>
      </c>
      <c r="Q468" s="3" t="s">
        <v>4748</v>
      </c>
      <c r="R468" s="3" t="s">
        <v>4748</v>
      </c>
      <c r="S468" s="2" t="s">
        <v>3054</v>
      </c>
      <c r="T468" s="2" t="s">
        <v>39</v>
      </c>
      <c r="U468" s="2" t="s">
        <v>40</v>
      </c>
      <c r="V468" s="3"/>
    </row>
    <row r="469" spans="1:22">
      <c r="A469" s="2">
        <v>468</v>
      </c>
      <c r="B469" s="3" t="s">
        <v>4580</v>
      </c>
      <c r="C469" s="3" t="s">
        <v>4749</v>
      </c>
      <c r="D469" s="3" t="s">
        <v>4750</v>
      </c>
      <c r="E469" s="2" t="s">
        <v>621</v>
      </c>
      <c r="F469" s="2" t="s">
        <v>43</v>
      </c>
      <c r="G469" s="3" t="s">
        <v>4751</v>
      </c>
      <c r="H469" s="2" t="s">
        <v>4752</v>
      </c>
      <c r="I469" s="3" t="s">
        <v>29</v>
      </c>
      <c r="J469" s="3" t="s">
        <v>4753</v>
      </c>
      <c r="K469" s="3" t="s">
        <v>365</v>
      </c>
      <c r="L469" s="3" t="s">
        <v>4754</v>
      </c>
      <c r="M469" s="3" t="s">
        <v>4755</v>
      </c>
      <c r="N469" s="3" t="s">
        <v>4756</v>
      </c>
      <c r="O469" s="3" t="s">
        <v>4757</v>
      </c>
      <c r="P469" s="3" t="s">
        <v>4758</v>
      </c>
      <c r="Q469" s="3" t="s">
        <v>4759</v>
      </c>
      <c r="R469" s="3" t="s">
        <v>4759</v>
      </c>
      <c r="S469" s="2" t="s">
        <v>3054</v>
      </c>
      <c r="T469" s="2" t="s">
        <v>39</v>
      </c>
      <c r="U469" s="2" t="s">
        <v>40</v>
      </c>
      <c r="V469" s="3"/>
    </row>
    <row r="470" spans="1:22">
      <c r="A470" s="2">
        <v>469</v>
      </c>
      <c r="B470" s="3" t="s">
        <v>4580</v>
      </c>
      <c r="C470" s="3" t="s">
        <v>4760</v>
      </c>
      <c r="D470" s="3" t="s">
        <v>4761</v>
      </c>
      <c r="E470" s="2" t="s">
        <v>81</v>
      </c>
      <c r="F470" s="2" t="s">
        <v>26</v>
      </c>
      <c r="G470" s="3" t="s">
        <v>4762</v>
      </c>
      <c r="H470" s="2" t="s">
        <v>4763</v>
      </c>
      <c r="I470" s="3" t="s">
        <v>29</v>
      </c>
      <c r="J470" s="3" t="s">
        <v>4764</v>
      </c>
      <c r="K470" s="3" t="s">
        <v>47</v>
      </c>
      <c r="L470" s="3" t="s">
        <v>132</v>
      </c>
      <c r="M470" s="3" t="s">
        <v>4765</v>
      </c>
      <c r="N470" s="3" t="s">
        <v>4766</v>
      </c>
      <c r="O470" s="3" t="s">
        <v>4767</v>
      </c>
      <c r="P470" s="3" t="s">
        <v>4768</v>
      </c>
      <c r="Q470" s="3" t="s">
        <v>4769</v>
      </c>
      <c r="R470" s="3" t="s">
        <v>4769</v>
      </c>
      <c r="S470" s="2" t="s">
        <v>3054</v>
      </c>
      <c r="T470" s="2" t="s">
        <v>39</v>
      </c>
      <c r="U470" s="2" t="s">
        <v>40</v>
      </c>
      <c r="V470" s="3"/>
    </row>
    <row r="471" spans="1:22">
      <c r="A471" s="2">
        <v>470</v>
      </c>
      <c r="B471" s="3" t="s">
        <v>4580</v>
      </c>
      <c r="C471" s="3" t="s">
        <v>4770</v>
      </c>
      <c r="D471" s="3" t="s">
        <v>4771</v>
      </c>
      <c r="E471" s="2" t="s">
        <v>913</v>
      </c>
      <c r="F471" s="2" t="s">
        <v>43</v>
      </c>
      <c r="G471" s="3" t="s">
        <v>4772</v>
      </c>
      <c r="H471" s="2" t="s">
        <v>4773</v>
      </c>
      <c r="I471" s="3" t="s">
        <v>29</v>
      </c>
      <c r="J471" s="3" t="s">
        <v>4774</v>
      </c>
      <c r="K471" s="3" t="s">
        <v>47</v>
      </c>
      <c r="L471" s="3" t="s">
        <v>323</v>
      </c>
      <c r="M471" s="3" t="s">
        <v>4775</v>
      </c>
      <c r="N471" s="3" t="s">
        <v>4776</v>
      </c>
      <c r="O471" s="3" t="s">
        <v>4777</v>
      </c>
      <c r="P471" s="3" t="s">
        <v>4778</v>
      </c>
      <c r="Q471" s="3" t="s">
        <v>4779</v>
      </c>
      <c r="R471" s="3" t="s">
        <v>4779</v>
      </c>
      <c r="S471" s="2" t="s">
        <v>3054</v>
      </c>
      <c r="T471" s="2" t="s">
        <v>39</v>
      </c>
      <c r="U471" s="2" t="s">
        <v>40</v>
      </c>
      <c r="V471" s="3"/>
    </row>
    <row r="472" spans="1:22">
      <c r="A472" s="2">
        <v>471</v>
      </c>
      <c r="B472" s="3" t="s">
        <v>4580</v>
      </c>
      <c r="C472" s="3" t="s">
        <v>4780</v>
      </c>
      <c r="D472" s="3" t="s">
        <v>4781</v>
      </c>
      <c r="E472" s="2" t="s">
        <v>185</v>
      </c>
      <c r="F472" s="2" t="s">
        <v>26</v>
      </c>
      <c r="G472" s="3" t="s">
        <v>4782</v>
      </c>
      <c r="H472" s="2" t="s">
        <v>4783</v>
      </c>
      <c r="I472" s="3" t="s">
        <v>29</v>
      </c>
      <c r="J472" s="3" t="s">
        <v>4784</v>
      </c>
      <c r="K472" s="3" t="s">
        <v>47</v>
      </c>
      <c r="L472" s="3" t="s">
        <v>323</v>
      </c>
      <c r="M472" s="3" t="s">
        <v>4785</v>
      </c>
      <c r="N472" s="3" t="s">
        <v>4786</v>
      </c>
      <c r="O472" s="3" t="s">
        <v>4787</v>
      </c>
      <c r="P472" s="3" t="s">
        <v>4788</v>
      </c>
      <c r="Q472" s="3" t="s">
        <v>4789</v>
      </c>
      <c r="R472" s="3" t="s">
        <v>4789</v>
      </c>
      <c r="S472" s="2" t="s">
        <v>3054</v>
      </c>
      <c r="T472" s="2" t="s">
        <v>39</v>
      </c>
      <c r="U472" s="2" t="s">
        <v>40</v>
      </c>
      <c r="V472" s="3"/>
    </row>
    <row r="473" spans="1:22">
      <c r="A473" s="2">
        <v>472</v>
      </c>
      <c r="B473" s="3" t="s">
        <v>4580</v>
      </c>
      <c r="C473" s="3" t="s">
        <v>4790</v>
      </c>
      <c r="D473" s="3" t="s">
        <v>4791</v>
      </c>
      <c r="E473" s="2" t="s">
        <v>383</v>
      </c>
      <c r="F473" s="2" t="s">
        <v>43</v>
      </c>
      <c r="G473" s="3" t="s">
        <v>4792</v>
      </c>
      <c r="H473" s="2" t="s">
        <v>4793</v>
      </c>
      <c r="I473" s="3" t="s">
        <v>29</v>
      </c>
      <c r="J473" s="3" t="s">
        <v>4794</v>
      </c>
      <c r="K473" s="3" t="s">
        <v>47</v>
      </c>
      <c r="L473" s="3" t="s">
        <v>603</v>
      </c>
      <c r="M473" s="3" t="s">
        <v>4795</v>
      </c>
      <c r="N473" s="3" t="s">
        <v>4796</v>
      </c>
      <c r="O473" s="3" t="s">
        <v>4797</v>
      </c>
      <c r="P473" s="3" t="s">
        <v>4798</v>
      </c>
      <c r="Q473" s="3" t="s">
        <v>4799</v>
      </c>
      <c r="R473" s="3" t="s">
        <v>4799</v>
      </c>
      <c r="S473" s="2" t="s">
        <v>3054</v>
      </c>
      <c r="T473" s="2" t="s">
        <v>39</v>
      </c>
      <c r="U473" s="2" t="s">
        <v>40</v>
      </c>
      <c r="V473" s="3"/>
    </row>
    <row r="474" spans="1:22">
      <c r="A474" s="2">
        <v>473</v>
      </c>
      <c r="B474" s="3" t="s">
        <v>4580</v>
      </c>
      <c r="C474" s="3" t="s">
        <v>4800</v>
      </c>
      <c r="D474" s="3" t="s">
        <v>4801</v>
      </c>
      <c r="E474" s="2" t="s">
        <v>56</v>
      </c>
      <c r="F474" s="2" t="s">
        <v>26</v>
      </c>
      <c r="G474" s="3" t="s">
        <v>4802</v>
      </c>
      <c r="H474" s="2" t="s">
        <v>4803</v>
      </c>
      <c r="I474" s="3" t="s">
        <v>29</v>
      </c>
      <c r="J474" s="3" t="s">
        <v>4804</v>
      </c>
      <c r="K474" s="3" t="s">
        <v>47</v>
      </c>
      <c r="L474" s="3" t="s">
        <v>132</v>
      </c>
      <c r="M474" s="3" t="s">
        <v>4805</v>
      </c>
      <c r="N474" s="3" t="s">
        <v>4806</v>
      </c>
      <c r="O474" s="3" t="s">
        <v>4807</v>
      </c>
      <c r="P474" s="3" t="s">
        <v>4808</v>
      </c>
      <c r="Q474" s="3" t="s">
        <v>4809</v>
      </c>
      <c r="R474" s="3" t="s">
        <v>4809</v>
      </c>
      <c r="S474" s="2" t="s">
        <v>3054</v>
      </c>
      <c r="T474" s="2" t="s">
        <v>39</v>
      </c>
      <c r="U474" s="2" t="s">
        <v>40</v>
      </c>
      <c r="V474" s="3"/>
    </row>
    <row r="475" spans="1:22">
      <c r="A475" s="2">
        <v>474</v>
      </c>
      <c r="B475" s="3" t="s">
        <v>4580</v>
      </c>
      <c r="C475" s="3" t="s">
        <v>4810</v>
      </c>
      <c r="D475" s="3" t="s">
        <v>4811</v>
      </c>
      <c r="E475" s="2" t="s">
        <v>4812</v>
      </c>
      <c r="F475" s="2" t="s">
        <v>26</v>
      </c>
      <c r="G475" s="3" t="s">
        <v>4813</v>
      </c>
      <c r="H475" s="2" t="s">
        <v>4814</v>
      </c>
      <c r="I475" s="3" t="s">
        <v>29</v>
      </c>
      <c r="J475" s="3" t="s">
        <v>4815</v>
      </c>
      <c r="K475" s="3" t="s">
        <v>47</v>
      </c>
      <c r="L475" s="3" t="s">
        <v>323</v>
      </c>
      <c r="M475" s="3" t="s">
        <v>4816</v>
      </c>
      <c r="N475" s="3" t="s">
        <v>4817</v>
      </c>
      <c r="O475" s="3" t="s">
        <v>4818</v>
      </c>
      <c r="P475" s="3" t="s">
        <v>4819</v>
      </c>
      <c r="Q475" s="3" t="s">
        <v>4820</v>
      </c>
      <c r="R475" s="3" t="s">
        <v>4820</v>
      </c>
      <c r="S475" s="2" t="s">
        <v>3054</v>
      </c>
      <c r="T475" s="2" t="s">
        <v>39</v>
      </c>
      <c r="U475" s="2" t="s">
        <v>40</v>
      </c>
      <c r="V475" s="3"/>
    </row>
    <row r="476" spans="1:22">
      <c r="A476" s="2">
        <v>475</v>
      </c>
      <c r="B476" s="3" t="s">
        <v>4580</v>
      </c>
      <c r="C476" s="3" t="s">
        <v>4821</v>
      </c>
      <c r="D476" s="3" t="s">
        <v>4822</v>
      </c>
      <c r="E476" s="2" t="s">
        <v>506</v>
      </c>
      <c r="F476" s="2" t="s">
        <v>26</v>
      </c>
      <c r="G476" s="3" t="s">
        <v>4823</v>
      </c>
      <c r="H476" s="2" t="s">
        <v>4824</v>
      </c>
      <c r="I476" s="3" t="s">
        <v>29</v>
      </c>
      <c r="J476" s="3" t="s">
        <v>4825</v>
      </c>
      <c r="K476" s="3" t="s">
        <v>47</v>
      </c>
      <c r="L476" s="3" t="s">
        <v>323</v>
      </c>
      <c r="M476" s="3" t="s">
        <v>4826</v>
      </c>
      <c r="N476" s="3" t="s">
        <v>4827</v>
      </c>
      <c r="O476" s="3" t="s">
        <v>4828</v>
      </c>
      <c r="P476" s="3" t="s">
        <v>4829</v>
      </c>
      <c r="Q476" s="3" t="s">
        <v>4830</v>
      </c>
      <c r="R476" s="3" t="s">
        <v>4830</v>
      </c>
      <c r="S476" s="2" t="s">
        <v>3054</v>
      </c>
      <c r="T476" s="2" t="s">
        <v>39</v>
      </c>
      <c r="U476" s="2" t="s">
        <v>40</v>
      </c>
      <c r="V476" s="3"/>
    </row>
    <row r="477" spans="1:22">
      <c r="A477" s="2">
        <v>476</v>
      </c>
      <c r="B477" s="3" t="s">
        <v>4580</v>
      </c>
      <c r="C477" s="3" t="s">
        <v>4831</v>
      </c>
      <c r="D477" s="3" t="s">
        <v>4832</v>
      </c>
      <c r="E477" s="2" t="s">
        <v>4833</v>
      </c>
      <c r="F477" s="2" t="s">
        <v>26</v>
      </c>
      <c r="G477" s="3" t="s">
        <v>4834</v>
      </c>
      <c r="H477" s="2" t="s">
        <v>4835</v>
      </c>
      <c r="I477" s="3" t="s">
        <v>29</v>
      </c>
      <c r="J477" s="3" t="s">
        <v>4836</v>
      </c>
      <c r="K477" s="3" t="s">
        <v>47</v>
      </c>
      <c r="L477" s="3" t="s">
        <v>323</v>
      </c>
      <c r="M477" s="3" t="s">
        <v>4837</v>
      </c>
      <c r="N477" s="3" t="s">
        <v>4838</v>
      </c>
      <c r="O477" s="3" t="s">
        <v>4839</v>
      </c>
      <c r="P477" s="3" t="s">
        <v>4840</v>
      </c>
      <c r="Q477" s="3" t="s">
        <v>4841</v>
      </c>
      <c r="R477" s="3" t="s">
        <v>4841</v>
      </c>
      <c r="S477" s="2" t="s">
        <v>3054</v>
      </c>
      <c r="T477" s="2" t="s">
        <v>39</v>
      </c>
      <c r="U477" s="2" t="s">
        <v>40</v>
      </c>
      <c r="V477" s="3"/>
    </row>
    <row r="478" spans="1:22">
      <c r="A478" s="2">
        <v>477</v>
      </c>
      <c r="B478" s="3" t="s">
        <v>4580</v>
      </c>
      <c r="C478" s="3" t="s">
        <v>4842</v>
      </c>
      <c r="D478" s="3" t="s">
        <v>4843</v>
      </c>
      <c r="E478" s="2" t="s">
        <v>69</v>
      </c>
      <c r="F478" s="2" t="s">
        <v>26</v>
      </c>
      <c r="G478" s="3" t="s">
        <v>4844</v>
      </c>
      <c r="H478" s="2" t="s">
        <v>4845</v>
      </c>
      <c r="I478" s="3" t="s">
        <v>29</v>
      </c>
      <c r="J478" s="3" t="s">
        <v>4846</v>
      </c>
      <c r="K478" s="3" t="s">
        <v>47</v>
      </c>
      <c r="L478" s="3" t="s">
        <v>323</v>
      </c>
      <c r="M478" s="3" t="s">
        <v>4847</v>
      </c>
      <c r="N478" s="3" t="s">
        <v>4848</v>
      </c>
      <c r="O478" s="3" t="s">
        <v>4849</v>
      </c>
      <c r="P478" s="3" t="s">
        <v>4850</v>
      </c>
      <c r="Q478" s="3" t="s">
        <v>4851</v>
      </c>
      <c r="R478" s="3" t="s">
        <v>4851</v>
      </c>
      <c r="S478" s="2" t="s">
        <v>3054</v>
      </c>
      <c r="T478" s="2" t="s">
        <v>39</v>
      </c>
      <c r="U478" s="2" t="s">
        <v>40</v>
      </c>
      <c r="V478" s="3"/>
    </row>
    <row r="479" spans="1:22">
      <c r="A479" s="2">
        <v>478</v>
      </c>
      <c r="B479" s="3" t="s">
        <v>4580</v>
      </c>
      <c r="C479" s="3" t="s">
        <v>4852</v>
      </c>
      <c r="D479" s="3" t="s">
        <v>4853</v>
      </c>
      <c r="E479" s="2" t="s">
        <v>103</v>
      </c>
      <c r="F479" s="2" t="s">
        <v>26</v>
      </c>
      <c r="G479" s="3" t="s">
        <v>4854</v>
      </c>
      <c r="H479" s="2" t="s">
        <v>4855</v>
      </c>
      <c r="I479" s="3" t="s">
        <v>29</v>
      </c>
      <c r="J479" s="3" t="s">
        <v>4856</v>
      </c>
      <c r="K479" s="3" t="s">
        <v>47</v>
      </c>
      <c r="L479" s="3" t="s">
        <v>132</v>
      </c>
      <c r="M479" s="3" t="s">
        <v>4857</v>
      </c>
      <c r="N479" s="3" t="s">
        <v>4858</v>
      </c>
      <c r="O479" s="3" t="s">
        <v>4859</v>
      </c>
      <c r="P479" s="3" t="s">
        <v>4860</v>
      </c>
      <c r="Q479" s="3" t="s">
        <v>4861</v>
      </c>
      <c r="R479" s="3" t="s">
        <v>4861</v>
      </c>
      <c r="S479" s="2" t="s">
        <v>3054</v>
      </c>
      <c r="T479" s="2" t="s">
        <v>39</v>
      </c>
      <c r="U479" s="2" t="s">
        <v>40</v>
      </c>
      <c r="V479" s="3"/>
    </row>
    <row r="480" spans="1:22">
      <c r="A480" s="2">
        <v>479</v>
      </c>
      <c r="B480" s="3" t="s">
        <v>4580</v>
      </c>
      <c r="C480" s="3" t="s">
        <v>4862</v>
      </c>
      <c r="D480" s="3" t="s">
        <v>4863</v>
      </c>
      <c r="E480" s="2" t="s">
        <v>116</v>
      </c>
      <c r="F480" s="2" t="s">
        <v>43</v>
      </c>
      <c r="G480" s="3" t="s">
        <v>4864</v>
      </c>
      <c r="H480" s="2" t="s">
        <v>4865</v>
      </c>
      <c r="I480" s="3" t="s">
        <v>29</v>
      </c>
      <c r="J480" s="3" t="s">
        <v>4866</v>
      </c>
      <c r="K480" s="3" t="s">
        <v>47</v>
      </c>
      <c r="L480" s="3" t="s">
        <v>108</v>
      </c>
      <c r="M480" s="3" t="s">
        <v>4867</v>
      </c>
      <c r="N480" s="3" t="s">
        <v>4868</v>
      </c>
      <c r="O480" s="3" t="s">
        <v>4869</v>
      </c>
      <c r="P480" s="3" t="s">
        <v>4870</v>
      </c>
      <c r="Q480" s="3" t="s">
        <v>4871</v>
      </c>
      <c r="R480" s="3" t="s">
        <v>4871</v>
      </c>
      <c r="S480" s="2" t="s">
        <v>3054</v>
      </c>
      <c r="T480" s="2" t="s">
        <v>39</v>
      </c>
      <c r="U480" s="2" t="s">
        <v>40</v>
      </c>
      <c r="V480" s="3"/>
    </row>
    <row r="481" spans="1:22">
      <c r="A481" s="2">
        <v>480</v>
      </c>
      <c r="B481" s="3" t="s">
        <v>4580</v>
      </c>
      <c r="C481" s="3" t="s">
        <v>4872</v>
      </c>
      <c r="D481" s="3" t="s">
        <v>4873</v>
      </c>
      <c r="E481" s="2" t="s">
        <v>116</v>
      </c>
      <c r="F481" s="2" t="s">
        <v>26</v>
      </c>
      <c r="G481" s="3" t="s">
        <v>4874</v>
      </c>
      <c r="H481" s="2" t="s">
        <v>4875</v>
      </c>
      <c r="I481" s="3" t="s">
        <v>29</v>
      </c>
      <c r="J481" s="3" t="s">
        <v>4876</v>
      </c>
      <c r="K481" s="3" t="s">
        <v>272</v>
      </c>
      <c r="L481" s="3" t="s">
        <v>167</v>
      </c>
      <c r="M481" s="3" t="s">
        <v>4877</v>
      </c>
      <c r="N481" s="3" t="s">
        <v>4878</v>
      </c>
      <c r="O481" s="3" t="s">
        <v>4879</v>
      </c>
      <c r="P481" s="3" t="s">
        <v>4880</v>
      </c>
      <c r="Q481" s="3" t="s">
        <v>4881</v>
      </c>
      <c r="R481" s="3" t="s">
        <v>4881</v>
      </c>
      <c r="S481" s="2" t="s">
        <v>3054</v>
      </c>
      <c r="T481" s="2" t="s">
        <v>39</v>
      </c>
      <c r="U481" s="2" t="s">
        <v>40</v>
      </c>
      <c r="V481" s="3"/>
    </row>
    <row r="482" spans="1:22">
      <c r="A482" s="2">
        <v>481</v>
      </c>
      <c r="B482" s="3" t="s">
        <v>4580</v>
      </c>
      <c r="C482" s="3" t="s">
        <v>4882</v>
      </c>
      <c r="D482" s="3" t="s">
        <v>4883</v>
      </c>
      <c r="E482" s="2" t="s">
        <v>69</v>
      </c>
      <c r="F482" s="2" t="s">
        <v>26</v>
      </c>
      <c r="G482" s="3" t="s">
        <v>4884</v>
      </c>
      <c r="H482" s="2" t="s">
        <v>4885</v>
      </c>
      <c r="I482" s="3" t="s">
        <v>29</v>
      </c>
      <c r="J482" s="3" t="s">
        <v>4886</v>
      </c>
      <c r="K482" s="3" t="s">
        <v>47</v>
      </c>
      <c r="L482" s="3" t="s">
        <v>145</v>
      </c>
      <c r="M482" s="3" t="s">
        <v>4887</v>
      </c>
      <c r="N482" s="3" t="s">
        <v>4888</v>
      </c>
      <c r="O482" s="3" t="s">
        <v>4889</v>
      </c>
      <c r="P482" s="3" t="s">
        <v>4890</v>
      </c>
      <c r="Q482" s="3" t="s">
        <v>4891</v>
      </c>
      <c r="R482" s="3" t="s">
        <v>4891</v>
      </c>
      <c r="S482" s="2" t="s">
        <v>3054</v>
      </c>
      <c r="T482" s="2" t="s">
        <v>39</v>
      </c>
      <c r="U482" s="2" t="s">
        <v>40</v>
      </c>
      <c r="V482" s="3"/>
    </row>
    <row r="483" spans="1:22">
      <c r="A483" s="2">
        <v>482</v>
      </c>
      <c r="B483" s="3" t="s">
        <v>4580</v>
      </c>
      <c r="C483" s="3" t="s">
        <v>4892</v>
      </c>
      <c r="D483" s="3" t="s">
        <v>4893</v>
      </c>
      <c r="E483" s="2" t="s">
        <v>103</v>
      </c>
      <c r="F483" s="2" t="s">
        <v>26</v>
      </c>
      <c r="G483" s="3" t="s">
        <v>4894</v>
      </c>
      <c r="H483" s="2" t="s">
        <v>4895</v>
      </c>
      <c r="I483" s="3" t="s">
        <v>29</v>
      </c>
      <c r="J483" s="3" t="s">
        <v>4896</v>
      </c>
      <c r="K483" s="3" t="s">
        <v>47</v>
      </c>
      <c r="L483" s="3" t="s">
        <v>145</v>
      </c>
      <c r="M483" s="3" t="s">
        <v>4897</v>
      </c>
      <c r="N483" s="3" t="s">
        <v>4898</v>
      </c>
      <c r="O483" s="3" t="s">
        <v>4899</v>
      </c>
      <c r="P483" s="3" t="s">
        <v>4900</v>
      </c>
      <c r="Q483" s="3" t="s">
        <v>4901</v>
      </c>
      <c r="R483" s="3" t="s">
        <v>4901</v>
      </c>
      <c r="S483" s="2" t="s">
        <v>3054</v>
      </c>
      <c r="T483" s="2" t="s">
        <v>39</v>
      </c>
      <c r="U483" s="2" t="s">
        <v>40</v>
      </c>
      <c r="V483" s="3"/>
    </row>
    <row r="484" spans="1:22">
      <c r="A484" s="2">
        <v>483</v>
      </c>
      <c r="B484" s="3" t="s">
        <v>4580</v>
      </c>
      <c r="C484" s="3" t="s">
        <v>4902</v>
      </c>
      <c r="D484" s="3" t="s">
        <v>4903</v>
      </c>
      <c r="E484" s="2" t="s">
        <v>185</v>
      </c>
      <c r="F484" s="2" t="s">
        <v>26</v>
      </c>
      <c r="G484" s="3" t="s">
        <v>4904</v>
      </c>
      <c r="H484" s="2" t="s">
        <v>4905</v>
      </c>
      <c r="I484" s="3" t="s">
        <v>29</v>
      </c>
      <c r="J484" s="3" t="s">
        <v>4906</v>
      </c>
      <c r="K484" s="3" t="s">
        <v>365</v>
      </c>
      <c r="L484" s="3" t="s">
        <v>108</v>
      </c>
      <c r="M484" s="3" t="s">
        <v>4907</v>
      </c>
      <c r="N484" s="3" t="s">
        <v>4908</v>
      </c>
      <c r="O484" s="3" t="s">
        <v>4909</v>
      </c>
      <c r="P484" s="3" t="s">
        <v>4910</v>
      </c>
      <c r="Q484" s="3" t="s">
        <v>4911</v>
      </c>
      <c r="R484" s="3" t="s">
        <v>4911</v>
      </c>
      <c r="S484" s="2" t="s">
        <v>3054</v>
      </c>
      <c r="T484" s="2" t="s">
        <v>39</v>
      </c>
      <c r="U484" s="2" t="s">
        <v>40</v>
      </c>
      <c r="V484" s="3"/>
    </row>
    <row r="485" spans="1:22">
      <c r="A485" s="2">
        <v>484</v>
      </c>
      <c r="B485" s="3" t="s">
        <v>4580</v>
      </c>
      <c r="C485" s="3" t="s">
        <v>4912</v>
      </c>
      <c r="D485" s="3" t="s">
        <v>4913</v>
      </c>
      <c r="E485" s="2" t="s">
        <v>206</v>
      </c>
      <c r="F485" s="2" t="s">
        <v>26</v>
      </c>
      <c r="G485" s="3" t="s">
        <v>4914</v>
      </c>
      <c r="H485" s="2" t="s">
        <v>4915</v>
      </c>
      <c r="I485" s="3" t="s">
        <v>29</v>
      </c>
      <c r="J485" s="3" t="s">
        <v>4916</v>
      </c>
      <c r="K485" s="3" t="s">
        <v>47</v>
      </c>
      <c r="L485" s="3" t="s">
        <v>73</v>
      </c>
      <c r="M485" s="3" t="s">
        <v>4917</v>
      </c>
      <c r="N485" s="3" t="s">
        <v>4918</v>
      </c>
      <c r="O485" s="3" t="s">
        <v>4919</v>
      </c>
      <c r="P485" s="3" t="s">
        <v>4920</v>
      </c>
      <c r="Q485" s="3" t="s">
        <v>4921</v>
      </c>
      <c r="R485" s="3" t="s">
        <v>4921</v>
      </c>
      <c r="S485" s="2" t="s">
        <v>3054</v>
      </c>
      <c r="T485" s="2" t="s">
        <v>39</v>
      </c>
      <c r="U485" s="2" t="s">
        <v>40</v>
      </c>
      <c r="V485" s="3"/>
    </row>
    <row r="486" spans="1:22">
      <c r="A486" s="2">
        <v>485</v>
      </c>
      <c r="B486" s="3" t="s">
        <v>4580</v>
      </c>
      <c r="C486" s="3" t="s">
        <v>4922</v>
      </c>
      <c r="D486" s="3" t="s">
        <v>4923</v>
      </c>
      <c r="E486" s="2" t="s">
        <v>206</v>
      </c>
      <c r="F486" s="2" t="s">
        <v>43</v>
      </c>
      <c r="G486" s="3" t="s">
        <v>4924</v>
      </c>
      <c r="H486" s="2" t="s">
        <v>4925</v>
      </c>
      <c r="I486" s="3" t="s">
        <v>29</v>
      </c>
      <c r="J486" s="3" t="s">
        <v>4926</v>
      </c>
      <c r="K486" s="3" t="s">
        <v>272</v>
      </c>
      <c r="L486" s="3" t="s">
        <v>167</v>
      </c>
      <c r="M486" s="3" t="s">
        <v>4927</v>
      </c>
      <c r="N486" s="3" t="s">
        <v>4928</v>
      </c>
      <c r="O486" s="3" t="s">
        <v>4929</v>
      </c>
      <c r="P486" s="3" t="s">
        <v>4930</v>
      </c>
      <c r="Q486" s="3" t="s">
        <v>4931</v>
      </c>
      <c r="R486" s="3" t="s">
        <v>4931</v>
      </c>
      <c r="S486" s="2" t="s">
        <v>3054</v>
      </c>
      <c r="T486" s="2" t="s">
        <v>39</v>
      </c>
      <c r="U486" s="2" t="s">
        <v>40</v>
      </c>
      <c r="V486" s="3"/>
    </row>
    <row r="487" spans="1:22">
      <c r="A487" s="2">
        <v>486</v>
      </c>
      <c r="B487" s="3" t="s">
        <v>4580</v>
      </c>
      <c r="C487" s="3" t="s">
        <v>4932</v>
      </c>
      <c r="D487" s="3" t="s">
        <v>4933</v>
      </c>
      <c r="E487" s="2" t="s">
        <v>206</v>
      </c>
      <c r="F487" s="2" t="s">
        <v>26</v>
      </c>
      <c r="G487" s="3" t="s">
        <v>4934</v>
      </c>
      <c r="H487" s="2" t="s">
        <v>4935</v>
      </c>
      <c r="I487" s="3" t="s">
        <v>29</v>
      </c>
      <c r="J487" s="3" t="s">
        <v>4936</v>
      </c>
      <c r="K487" s="3" t="s">
        <v>47</v>
      </c>
      <c r="L487" s="3" t="s">
        <v>293</v>
      </c>
      <c r="M487" s="3" t="s">
        <v>4937</v>
      </c>
      <c r="N487" s="3" t="s">
        <v>4938</v>
      </c>
      <c r="O487" s="3" t="s">
        <v>4939</v>
      </c>
      <c r="P487" s="3" t="s">
        <v>4940</v>
      </c>
      <c r="Q487" s="3" t="s">
        <v>4941</v>
      </c>
      <c r="R487" s="3" t="s">
        <v>4941</v>
      </c>
      <c r="S487" s="2" t="s">
        <v>3054</v>
      </c>
      <c r="T487" s="2" t="s">
        <v>39</v>
      </c>
      <c r="U487" s="2" t="s">
        <v>40</v>
      </c>
      <c r="V487" s="3"/>
    </row>
    <row r="488" spans="1:22">
      <c r="A488" s="2">
        <v>487</v>
      </c>
      <c r="B488" s="3" t="s">
        <v>4580</v>
      </c>
      <c r="C488" s="3" t="s">
        <v>4942</v>
      </c>
      <c r="D488" s="3" t="s">
        <v>4943</v>
      </c>
      <c r="E488" s="2" t="s">
        <v>103</v>
      </c>
      <c r="F488" s="2" t="s">
        <v>26</v>
      </c>
      <c r="G488" s="3" t="s">
        <v>4944</v>
      </c>
      <c r="H488" s="2" t="s">
        <v>4945</v>
      </c>
      <c r="I488" s="3" t="s">
        <v>29</v>
      </c>
      <c r="J488" s="3" t="s">
        <v>4946</v>
      </c>
      <c r="K488" s="3" t="s">
        <v>47</v>
      </c>
      <c r="L488" s="3" t="s">
        <v>323</v>
      </c>
      <c r="M488" s="3" t="s">
        <v>4947</v>
      </c>
      <c r="N488" s="3" t="s">
        <v>4948</v>
      </c>
      <c r="O488" s="3" t="s">
        <v>4949</v>
      </c>
      <c r="P488" s="3" t="s">
        <v>4950</v>
      </c>
      <c r="Q488" s="3" t="s">
        <v>4951</v>
      </c>
      <c r="R488" s="3" t="s">
        <v>4951</v>
      </c>
      <c r="S488" s="2" t="s">
        <v>3054</v>
      </c>
      <c r="T488" s="2" t="s">
        <v>39</v>
      </c>
      <c r="U488" s="2" t="s">
        <v>40</v>
      </c>
      <c r="V488" s="3"/>
    </row>
    <row r="489" spans="1:22">
      <c r="A489" s="2">
        <v>488</v>
      </c>
      <c r="B489" s="3" t="s">
        <v>4580</v>
      </c>
      <c r="C489" s="3" t="s">
        <v>4952</v>
      </c>
      <c r="D489" s="3" t="s">
        <v>4953</v>
      </c>
      <c r="E489" s="2" t="s">
        <v>4833</v>
      </c>
      <c r="F489" s="2" t="s">
        <v>26</v>
      </c>
      <c r="G489" s="3" t="s">
        <v>4954</v>
      </c>
      <c r="H489" s="2" t="s">
        <v>4955</v>
      </c>
      <c r="I489" s="3" t="s">
        <v>29</v>
      </c>
      <c r="J489" s="3" t="s">
        <v>4956</v>
      </c>
      <c r="K489" s="3" t="s">
        <v>47</v>
      </c>
      <c r="L489" s="3" t="s">
        <v>167</v>
      </c>
      <c r="M489" s="3" t="s">
        <v>807</v>
      </c>
      <c r="N489" s="3" t="s">
        <v>4957</v>
      </c>
      <c r="O489" s="3" t="s">
        <v>4958</v>
      </c>
      <c r="P489" s="3" t="s">
        <v>4959</v>
      </c>
      <c r="Q489" s="3" t="s">
        <v>4960</v>
      </c>
      <c r="R489" s="3" t="s">
        <v>4960</v>
      </c>
      <c r="S489" s="2" t="s">
        <v>3054</v>
      </c>
      <c r="T489" s="2" t="s">
        <v>39</v>
      </c>
      <c r="U489" s="2" t="s">
        <v>40</v>
      </c>
      <c r="V489" s="3"/>
    </row>
    <row r="490" spans="1:22">
      <c r="A490" s="2">
        <v>489</v>
      </c>
      <c r="B490" s="3" t="s">
        <v>4580</v>
      </c>
      <c r="C490" s="3" t="s">
        <v>4961</v>
      </c>
      <c r="D490" s="3" t="s">
        <v>4962</v>
      </c>
      <c r="E490" s="2" t="s">
        <v>56</v>
      </c>
      <c r="F490" s="2" t="s">
        <v>26</v>
      </c>
      <c r="G490" s="3" t="s">
        <v>4963</v>
      </c>
      <c r="H490" s="2" t="s">
        <v>4964</v>
      </c>
      <c r="I490" s="3" t="s">
        <v>29</v>
      </c>
      <c r="J490" s="3" t="s">
        <v>4965</v>
      </c>
      <c r="K490" s="3" t="s">
        <v>47</v>
      </c>
      <c r="L490" s="3" t="s">
        <v>132</v>
      </c>
      <c r="M490" s="3" t="s">
        <v>4966</v>
      </c>
      <c r="N490" s="3" t="s">
        <v>4967</v>
      </c>
      <c r="O490" s="3" t="s">
        <v>4968</v>
      </c>
      <c r="P490" s="3" t="s">
        <v>4969</v>
      </c>
      <c r="Q490" s="3" t="s">
        <v>4970</v>
      </c>
      <c r="R490" s="3" t="s">
        <v>4970</v>
      </c>
      <c r="S490" s="2" t="s">
        <v>3054</v>
      </c>
      <c r="T490" s="2" t="s">
        <v>39</v>
      </c>
      <c r="U490" s="2" t="s">
        <v>40</v>
      </c>
      <c r="V490" s="3"/>
    </row>
    <row r="491" spans="1:22">
      <c r="A491" s="2">
        <v>490</v>
      </c>
      <c r="B491" s="3" t="s">
        <v>4580</v>
      </c>
      <c r="C491" s="3" t="s">
        <v>4971</v>
      </c>
      <c r="D491" s="3" t="s">
        <v>4972</v>
      </c>
      <c r="E491" s="2" t="s">
        <v>206</v>
      </c>
      <c r="F491" s="2" t="s">
        <v>26</v>
      </c>
      <c r="G491" s="3" t="s">
        <v>4973</v>
      </c>
      <c r="H491" s="2" t="s">
        <v>4974</v>
      </c>
      <c r="I491" s="3" t="s">
        <v>29</v>
      </c>
      <c r="J491" s="3" t="s">
        <v>4975</v>
      </c>
      <c r="K491" s="3" t="s">
        <v>47</v>
      </c>
      <c r="L491" s="3" t="s">
        <v>167</v>
      </c>
      <c r="M491" s="3" t="s">
        <v>4976</v>
      </c>
      <c r="N491" s="3" t="s">
        <v>4977</v>
      </c>
      <c r="O491" s="3" t="s">
        <v>4978</v>
      </c>
      <c r="P491" s="3" t="s">
        <v>4979</v>
      </c>
      <c r="Q491" s="3" t="s">
        <v>4980</v>
      </c>
      <c r="R491" s="3" t="s">
        <v>4980</v>
      </c>
      <c r="S491" s="2" t="s">
        <v>3054</v>
      </c>
      <c r="T491" s="2" t="s">
        <v>39</v>
      </c>
      <c r="U491" s="2" t="s">
        <v>40</v>
      </c>
      <c r="V491" s="3"/>
    </row>
    <row r="492" spans="1:22">
      <c r="A492" s="2">
        <v>491</v>
      </c>
      <c r="B492" s="3" t="s">
        <v>4580</v>
      </c>
      <c r="C492" s="3" t="s">
        <v>4981</v>
      </c>
      <c r="D492" s="3" t="s">
        <v>4982</v>
      </c>
      <c r="E492" s="2" t="s">
        <v>4812</v>
      </c>
      <c r="F492" s="2" t="s">
        <v>26</v>
      </c>
      <c r="G492" s="3" t="s">
        <v>4983</v>
      </c>
      <c r="H492" s="2" t="s">
        <v>4984</v>
      </c>
      <c r="I492" s="3" t="s">
        <v>29</v>
      </c>
      <c r="J492" s="3" t="s">
        <v>4985</v>
      </c>
      <c r="K492" s="3" t="s">
        <v>47</v>
      </c>
      <c r="L492" s="3" t="s">
        <v>323</v>
      </c>
      <c r="M492" s="3" t="s">
        <v>4986</v>
      </c>
      <c r="N492" s="3" t="s">
        <v>4987</v>
      </c>
      <c r="O492" s="3" t="s">
        <v>4988</v>
      </c>
      <c r="P492" s="3" t="s">
        <v>4989</v>
      </c>
      <c r="Q492" s="3" t="s">
        <v>4990</v>
      </c>
      <c r="R492" s="3" t="s">
        <v>4990</v>
      </c>
      <c r="S492" s="2" t="s">
        <v>3054</v>
      </c>
      <c r="T492" s="2" t="s">
        <v>39</v>
      </c>
      <c r="U492" s="2" t="s">
        <v>40</v>
      </c>
      <c r="V492" s="3"/>
    </row>
    <row r="493" spans="1:22">
      <c r="A493" s="2">
        <v>492</v>
      </c>
      <c r="B493" s="3" t="s">
        <v>4580</v>
      </c>
      <c r="C493" s="3" t="s">
        <v>4991</v>
      </c>
      <c r="D493" s="3" t="s">
        <v>4992</v>
      </c>
      <c r="E493" s="2" t="s">
        <v>103</v>
      </c>
      <c r="F493" s="2" t="s">
        <v>43</v>
      </c>
      <c r="G493" s="3" t="s">
        <v>4993</v>
      </c>
      <c r="H493" s="2" t="s">
        <v>4994</v>
      </c>
      <c r="I493" s="3" t="s">
        <v>29</v>
      </c>
      <c r="J493" s="3" t="s">
        <v>4995</v>
      </c>
      <c r="K493" s="3" t="s">
        <v>47</v>
      </c>
      <c r="L493" s="3" t="s">
        <v>293</v>
      </c>
      <c r="M493" s="3" t="s">
        <v>4996</v>
      </c>
      <c r="N493" s="3" t="s">
        <v>4997</v>
      </c>
      <c r="O493" s="3" t="s">
        <v>4998</v>
      </c>
      <c r="P493" s="3" t="s">
        <v>4999</v>
      </c>
      <c r="Q493" s="3" t="s">
        <v>5000</v>
      </c>
      <c r="R493" s="3" t="s">
        <v>5000</v>
      </c>
      <c r="S493" s="2" t="s">
        <v>3054</v>
      </c>
      <c r="T493" s="2" t="s">
        <v>39</v>
      </c>
      <c r="U493" s="2" t="s">
        <v>40</v>
      </c>
      <c r="V493" s="3"/>
    </row>
    <row r="494" spans="1:22">
      <c r="A494" s="2">
        <v>493</v>
      </c>
      <c r="B494" s="3" t="s">
        <v>4580</v>
      </c>
      <c r="C494" s="3" t="s">
        <v>5001</v>
      </c>
      <c r="D494" s="3" t="s">
        <v>5002</v>
      </c>
      <c r="E494" s="2" t="s">
        <v>257</v>
      </c>
      <c r="F494" s="2" t="s">
        <v>26</v>
      </c>
      <c r="G494" s="3" t="s">
        <v>5003</v>
      </c>
      <c r="H494" s="2" t="s">
        <v>5004</v>
      </c>
      <c r="I494" s="3" t="s">
        <v>29</v>
      </c>
      <c r="J494" s="3" t="s">
        <v>5005</v>
      </c>
      <c r="K494" s="3" t="s">
        <v>47</v>
      </c>
      <c r="L494" s="3" t="s">
        <v>73</v>
      </c>
      <c r="M494" s="3" t="s">
        <v>5006</v>
      </c>
      <c r="N494" s="3" t="s">
        <v>5007</v>
      </c>
      <c r="O494" s="3" t="s">
        <v>5008</v>
      </c>
      <c r="P494" s="3" t="s">
        <v>5009</v>
      </c>
      <c r="Q494" s="3" t="s">
        <v>5010</v>
      </c>
      <c r="R494" s="3" t="s">
        <v>5010</v>
      </c>
      <c r="S494" s="2" t="s">
        <v>3054</v>
      </c>
      <c r="T494" s="2" t="s">
        <v>39</v>
      </c>
      <c r="U494" s="2" t="s">
        <v>40</v>
      </c>
      <c r="V494" s="3"/>
    </row>
    <row r="495" spans="1:22">
      <c r="A495" s="2">
        <v>494</v>
      </c>
      <c r="B495" s="3" t="s">
        <v>4580</v>
      </c>
      <c r="C495" s="3" t="s">
        <v>5011</v>
      </c>
      <c r="D495" s="3" t="s">
        <v>5012</v>
      </c>
      <c r="E495" s="2" t="s">
        <v>56</v>
      </c>
      <c r="F495" s="2" t="s">
        <v>43</v>
      </c>
      <c r="G495" s="3" t="s">
        <v>5013</v>
      </c>
      <c r="H495" s="2" t="s">
        <v>5014</v>
      </c>
      <c r="I495" s="3" t="s">
        <v>29</v>
      </c>
      <c r="J495" s="3" t="s">
        <v>5015</v>
      </c>
      <c r="K495" s="3" t="s">
        <v>47</v>
      </c>
      <c r="L495" s="3" t="s">
        <v>293</v>
      </c>
      <c r="M495" s="3" t="s">
        <v>5016</v>
      </c>
      <c r="N495" s="3" t="s">
        <v>5017</v>
      </c>
      <c r="O495" s="3" t="s">
        <v>5018</v>
      </c>
      <c r="P495" s="3" t="s">
        <v>5019</v>
      </c>
      <c r="Q495" s="3" t="s">
        <v>5020</v>
      </c>
      <c r="R495" s="3" t="s">
        <v>5020</v>
      </c>
      <c r="S495" s="2" t="s">
        <v>3054</v>
      </c>
      <c r="T495" s="2" t="s">
        <v>39</v>
      </c>
      <c r="U495" s="2" t="s">
        <v>40</v>
      </c>
      <c r="V495" s="3"/>
    </row>
    <row r="496" spans="1:22">
      <c r="A496" s="2">
        <v>495</v>
      </c>
      <c r="B496" s="3" t="s">
        <v>4580</v>
      </c>
      <c r="C496" s="3" t="s">
        <v>5021</v>
      </c>
      <c r="D496" s="3" t="s">
        <v>5022</v>
      </c>
      <c r="E496" s="2" t="s">
        <v>25</v>
      </c>
      <c r="F496" s="2" t="s">
        <v>26</v>
      </c>
      <c r="G496" s="3" t="s">
        <v>5023</v>
      </c>
      <c r="H496" s="2" t="s">
        <v>5024</v>
      </c>
      <c r="I496" s="3" t="s">
        <v>29</v>
      </c>
      <c r="J496" s="3" t="s">
        <v>5025</v>
      </c>
      <c r="K496" s="3" t="s">
        <v>47</v>
      </c>
      <c r="L496" s="3" t="s">
        <v>167</v>
      </c>
      <c r="M496" s="3" t="s">
        <v>5026</v>
      </c>
      <c r="N496" s="3" t="s">
        <v>5027</v>
      </c>
      <c r="O496" s="3" t="s">
        <v>5028</v>
      </c>
      <c r="P496" s="3" t="s">
        <v>5029</v>
      </c>
      <c r="Q496" s="3" t="s">
        <v>5030</v>
      </c>
      <c r="R496" s="3" t="s">
        <v>5030</v>
      </c>
      <c r="S496" s="2" t="s">
        <v>3054</v>
      </c>
      <c r="T496" s="2" t="s">
        <v>39</v>
      </c>
      <c r="U496" s="2" t="s">
        <v>40</v>
      </c>
      <c r="V496" s="3"/>
    </row>
    <row r="497" spans="1:22">
      <c r="A497" s="2">
        <v>496</v>
      </c>
      <c r="B497" s="3" t="s">
        <v>4580</v>
      </c>
      <c r="C497" s="3" t="s">
        <v>5031</v>
      </c>
      <c r="D497" s="3" t="s">
        <v>5032</v>
      </c>
      <c r="E497" s="2" t="s">
        <v>103</v>
      </c>
      <c r="F497" s="2" t="s">
        <v>26</v>
      </c>
      <c r="G497" s="3" t="s">
        <v>5033</v>
      </c>
      <c r="H497" s="2" t="s">
        <v>5034</v>
      </c>
      <c r="I497" s="3" t="s">
        <v>29</v>
      </c>
      <c r="J497" s="3" t="s">
        <v>5035</v>
      </c>
      <c r="K497" s="3" t="s">
        <v>47</v>
      </c>
      <c r="L497" s="3" t="s">
        <v>323</v>
      </c>
      <c r="M497" s="3" t="s">
        <v>2747</v>
      </c>
      <c r="N497" s="3" t="s">
        <v>5036</v>
      </c>
      <c r="O497" s="3" t="s">
        <v>5037</v>
      </c>
      <c r="P497" s="3" t="s">
        <v>5038</v>
      </c>
      <c r="Q497" s="3" t="s">
        <v>5039</v>
      </c>
      <c r="R497" s="3" t="s">
        <v>5039</v>
      </c>
      <c r="S497" s="2" t="s">
        <v>3054</v>
      </c>
      <c r="T497" s="2" t="s">
        <v>39</v>
      </c>
      <c r="U497" s="2" t="s">
        <v>40</v>
      </c>
      <c r="V497" s="3"/>
    </row>
    <row r="498" spans="1:22">
      <c r="A498" s="2">
        <v>497</v>
      </c>
      <c r="B498" s="3" t="s">
        <v>4580</v>
      </c>
      <c r="C498" s="3" t="s">
        <v>5040</v>
      </c>
      <c r="D498" s="3" t="s">
        <v>5041</v>
      </c>
      <c r="E498" s="2" t="s">
        <v>1017</v>
      </c>
      <c r="F498" s="2" t="s">
        <v>43</v>
      </c>
      <c r="G498" s="3" t="s">
        <v>5042</v>
      </c>
      <c r="H498" s="2" t="s">
        <v>5043</v>
      </c>
      <c r="I498" s="3" t="s">
        <v>29</v>
      </c>
      <c r="J498" s="3" t="s">
        <v>5044</v>
      </c>
      <c r="K498" s="3" t="s">
        <v>47</v>
      </c>
      <c r="L498" s="3" t="s">
        <v>132</v>
      </c>
      <c r="M498" s="3" t="s">
        <v>5045</v>
      </c>
      <c r="N498" s="3" t="s">
        <v>5046</v>
      </c>
      <c r="O498" s="3" t="s">
        <v>5047</v>
      </c>
      <c r="P498" s="3" t="s">
        <v>5048</v>
      </c>
      <c r="Q498" s="3" t="s">
        <v>5049</v>
      </c>
      <c r="R498" s="3" t="s">
        <v>5049</v>
      </c>
      <c r="S498" s="2" t="s">
        <v>38</v>
      </c>
      <c r="T498" s="2" t="s">
        <v>39</v>
      </c>
      <c r="U498" s="2" t="s">
        <v>40</v>
      </c>
      <c r="V498" s="3"/>
    </row>
    <row r="499" spans="1:22">
      <c r="A499" s="2">
        <v>498</v>
      </c>
      <c r="B499" s="3" t="s">
        <v>4580</v>
      </c>
      <c r="C499" s="3" t="s">
        <v>5050</v>
      </c>
      <c r="D499" s="3" t="s">
        <v>5051</v>
      </c>
      <c r="E499" s="2" t="s">
        <v>69</v>
      </c>
      <c r="F499" s="2" t="s">
        <v>26</v>
      </c>
      <c r="G499" s="3" t="s">
        <v>5052</v>
      </c>
      <c r="H499" s="2" t="s">
        <v>5053</v>
      </c>
      <c r="I499" s="3" t="s">
        <v>29</v>
      </c>
      <c r="J499" s="3" t="s">
        <v>5054</v>
      </c>
      <c r="K499" s="3" t="s">
        <v>47</v>
      </c>
      <c r="L499" s="3" t="s">
        <v>132</v>
      </c>
      <c r="M499" s="3" t="s">
        <v>5055</v>
      </c>
      <c r="N499" s="3" t="s">
        <v>5056</v>
      </c>
      <c r="O499" s="3" t="s">
        <v>5057</v>
      </c>
      <c r="P499" s="3" t="s">
        <v>5058</v>
      </c>
      <c r="Q499" s="3" t="s">
        <v>5059</v>
      </c>
      <c r="R499" s="3" t="s">
        <v>5059</v>
      </c>
      <c r="S499" s="2" t="s">
        <v>38</v>
      </c>
      <c r="T499" s="2" t="s">
        <v>39</v>
      </c>
      <c r="U499" s="2" t="s">
        <v>40</v>
      </c>
      <c r="V499" s="3"/>
    </row>
    <row r="500" spans="1:22">
      <c r="A500" s="2">
        <v>499</v>
      </c>
      <c r="B500" s="3" t="s">
        <v>4580</v>
      </c>
      <c r="C500" s="3" t="s">
        <v>5060</v>
      </c>
      <c r="D500" s="3" t="s">
        <v>5061</v>
      </c>
      <c r="E500" s="2" t="s">
        <v>506</v>
      </c>
      <c r="F500" s="2" t="s">
        <v>43</v>
      </c>
      <c r="G500" s="3" t="s">
        <v>5062</v>
      </c>
      <c r="H500" s="2" t="s">
        <v>5063</v>
      </c>
      <c r="I500" s="3" t="s">
        <v>29</v>
      </c>
      <c r="J500" s="3" t="s">
        <v>5064</v>
      </c>
      <c r="K500" s="3" t="s">
        <v>47</v>
      </c>
      <c r="L500" s="3" t="s">
        <v>323</v>
      </c>
      <c r="M500" s="3" t="s">
        <v>5065</v>
      </c>
      <c r="N500" s="3" t="s">
        <v>5066</v>
      </c>
      <c r="O500" s="3" t="s">
        <v>5067</v>
      </c>
      <c r="P500" s="3" t="s">
        <v>5068</v>
      </c>
      <c r="Q500" s="3" t="s">
        <v>5069</v>
      </c>
      <c r="R500" s="3" t="s">
        <v>5069</v>
      </c>
      <c r="S500" s="2" t="s">
        <v>38</v>
      </c>
      <c r="T500" s="2" t="s">
        <v>39</v>
      </c>
      <c r="U500" s="2" t="s">
        <v>40</v>
      </c>
      <c r="V500" s="3"/>
    </row>
    <row r="501" spans="1:22">
      <c r="A501" s="2">
        <v>500</v>
      </c>
      <c r="B501" s="3" t="s">
        <v>4580</v>
      </c>
      <c r="C501" s="3" t="s">
        <v>5070</v>
      </c>
      <c r="D501" s="3" t="s">
        <v>5071</v>
      </c>
      <c r="E501" s="2" t="s">
        <v>116</v>
      </c>
      <c r="F501" s="2" t="s">
        <v>26</v>
      </c>
      <c r="G501" s="3" t="s">
        <v>5072</v>
      </c>
      <c r="H501" s="2" t="s">
        <v>5073</v>
      </c>
      <c r="I501" s="3" t="s">
        <v>29</v>
      </c>
      <c r="J501" s="3" t="s">
        <v>131</v>
      </c>
      <c r="K501" s="3" t="s">
        <v>47</v>
      </c>
      <c r="L501" s="3" t="s">
        <v>132</v>
      </c>
      <c r="M501" s="3" t="s">
        <v>5074</v>
      </c>
      <c r="N501" s="3" t="s">
        <v>5075</v>
      </c>
      <c r="O501" s="3" t="s">
        <v>5076</v>
      </c>
      <c r="P501" s="3" t="s">
        <v>5077</v>
      </c>
      <c r="Q501" s="3" t="s">
        <v>5078</v>
      </c>
      <c r="R501" s="3" t="s">
        <v>5078</v>
      </c>
      <c r="S501" s="2" t="s">
        <v>38</v>
      </c>
      <c r="T501" s="2" t="s">
        <v>39</v>
      </c>
      <c r="U501" s="2" t="s">
        <v>40</v>
      </c>
      <c r="V501" s="3"/>
    </row>
    <row r="502" spans="1:22">
      <c r="A502" s="2">
        <v>501</v>
      </c>
      <c r="B502" s="3" t="s">
        <v>5079</v>
      </c>
      <c r="C502" s="3" t="s">
        <v>5080</v>
      </c>
      <c r="D502" s="3" t="s">
        <v>5081</v>
      </c>
      <c r="E502" s="2" t="s">
        <v>69</v>
      </c>
      <c r="F502" s="2" t="s">
        <v>26</v>
      </c>
      <c r="G502" s="3" t="s">
        <v>5082</v>
      </c>
      <c r="H502" s="2" t="s">
        <v>5083</v>
      </c>
      <c r="I502" s="3" t="s">
        <v>29</v>
      </c>
      <c r="J502" s="3" t="s">
        <v>5084</v>
      </c>
      <c r="K502" s="3" t="s">
        <v>272</v>
      </c>
      <c r="L502" s="3" t="s">
        <v>323</v>
      </c>
      <c r="M502" s="3" t="s">
        <v>5085</v>
      </c>
      <c r="N502" s="3" t="s">
        <v>5086</v>
      </c>
      <c r="O502" s="3" t="s">
        <v>5087</v>
      </c>
      <c r="P502" s="3" t="s">
        <v>5088</v>
      </c>
      <c r="Q502" s="3" t="s">
        <v>5089</v>
      </c>
      <c r="R502" s="3" t="s">
        <v>5089</v>
      </c>
      <c r="S502" s="2" t="s">
        <v>38</v>
      </c>
      <c r="T502" s="2" t="s">
        <v>39</v>
      </c>
      <c r="U502" s="2" t="s">
        <v>40</v>
      </c>
      <c r="V502" s="3"/>
    </row>
    <row r="503" spans="1:22">
      <c r="A503" s="2">
        <v>502</v>
      </c>
      <c r="B503" s="3" t="s">
        <v>5079</v>
      </c>
      <c r="C503" s="3" t="s">
        <v>5090</v>
      </c>
      <c r="D503" s="3" t="s">
        <v>5091</v>
      </c>
      <c r="E503" s="2" t="s">
        <v>69</v>
      </c>
      <c r="F503" s="2" t="s">
        <v>43</v>
      </c>
      <c r="G503" s="3" t="s">
        <v>5092</v>
      </c>
      <c r="H503" s="2" t="s">
        <v>5093</v>
      </c>
      <c r="I503" s="3" t="s">
        <v>29</v>
      </c>
      <c r="J503" s="3" t="s">
        <v>5094</v>
      </c>
      <c r="K503" s="3" t="s">
        <v>47</v>
      </c>
      <c r="L503" s="3" t="s">
        <v>145</v>
      </c>
      <c r="M503" s="3" t="s">
        <v>48</v>
      </c>
      <c r="N503" s="3" t="s">
        <v>5095</v>
      </c>
      <c r="O503" s="3" t="s">
        <v>5096</v>
      </c>
      <c r="P503" s="3" t="s">
        <v>5097</v>
      </c>
      <c r="Q503" s="3" t="s">
        <v>5098</v>
      </c>
      <c r="R503" s="3" t="s">
        <v>5098</v>
      </c>
      <c r="S503" s="2" t="s">
        <v>38</v>
      </c>
      <c r="T503" s="2" t="s">
        <v>39</v>
      </c>
      <c r="U503" s="2" t="s">
        <v>40</v>
      </c>
      <c r="V503" s="3"/>
    </row>
    <row r="504" spans="1:22">
      <c r="A504" s="2">
        <v>503</v>
      </c>
      <c r="B504" s="3" t="s">
        <v>5079</v>
      </c>
      <c r="C504" s="3" t="s">
        <v>5099</v>
      </c>
      <c r="D504" s="3" t="s">
        <v>5100</v>
      </c>
      <c r="E504" s="2" t="s">
        <v>404</v>
      </c>
      <c r="F504" s="2" t="s">
        <v>26</v>
      </c>
      <c r="G504" s="3" t="s">
        <v>5101</v>
      </c>
      <c r="H504" s="2" t="s">
        <v>5102</v>
      </c>
      <c r="I504" s="3" t="s">
        <v>29</v>
      </c>
      <c r="J504" s="3" t="s">
        <v>5064</v>
      </c>
      <c r="K504" s="3" t="s">
        <v>47</v>
      </c>
      <c r="L504" s="3" t="s">
        <v>323</v>
      </c>
      <c r="M504" s="3" t="s">
        <v>5065</v>
      </c>
      <c r="N504" s="3" t="s">
        <v>5103</v>
      </c>
      <c r="O504" s="3" t="s">
        <v>5104</v>
      </c>
      <c r="P504" s="3" t="s">
        <v>5105</v>
      </c>
      <c r="Q504" s="3" t="s">
        <v>5106</v>
      </c>
      <c r="R504" s="3" t="s">
        <v>5106</v>
      </c>
      <c r="S504" s="2" t="s">
        <v>38</v>
      </c>
      <c r="T504" s="2" t="s">
        <v>39</v>
      </c>
      <c r="U504" s="2" t="s">
        <v>40</v>
      </c>
      <c r="V504" s="3"/>
    </row>
    <row r="505" spans="1:22">
      <c r="A505" s="2">
        <v>504</v>
      </c>
      <c r="B505" s="3" t="s">
        <v>5079</v>
      </c>
      <c r="C505" s="3" t="s">
        <v>5107</v>
      </c>
      <c r="D505" s="3" t="s">
        <v>5108</v>
      </c>
      <c r="E505" s="2" t="s">
        <v>642</v>
      </c>
      <c r="F505" s="2" t="s">
        <v>26</v>
      </c>
      <c r="G505" s="3" t="s">
        <v>5109</v>
      </c>
      <c r="H505" s="2" t="s">
        <v>5110</v>
      </c>
      <c r="I505" s="3" t="s">
        <v>29</v>
      </c>
      <c r="J505" s="3" t="s">
        <v>5111</v>
      </c>
      <c r="K505" s="3" t="s">
        <v>47</v>
      </c>
      <c r="L505" s="3" t="s">
        <v>167</v>
      </c>
      <c r="M505" s="3" t="s">
        <v>5112</v>
      </c>
      <c r="N505" s="3" t="s">
        <v>5113</v>
      </c>
      <c r="O505" s="3" t="s">
        <v>5114</v>
      </c>
      <c r="P505" s="3" t="s">
        <v>5115</v>
      </c>
      <c r="Q505" s="3" t="s">
        <v>5116</v>
      </c>
      <c r="R505" s="3" t="s">
        <v>5116</v>
      </c>
      <c r="S505" s="2" t="s">
        <v>38</v>
      </c>
      <c r="T505" s="2" t="s">
        <v>39</v>
      </c>
      <c r="U505" s="2" t="s">
        <v>40</v>
      </c>
      <c r="V505" s="3"/>
    </row>
    <row r="506" spans="1:22">
      <c r="A506" s="2">
        <v>505</v>
      </c>
      <c r="B506" s="3" t="s">
        <v>5079</v>
      </c>
      <c r="C506" s="3" t="s">
        <v>5117</v>
      </c>
      <c r="D506" s="3" t="s">
        <v>5118</v>
      </c>
      <c r="E506" s="2" t="s">
        <v>383</v>
      </c>
      <c r="F506" s="2" t="s">
        <v>26</v>
      </c>
      <c r="G506" s="3" t="s">
        <v>5119</v>
      </c>
      <c r="H506" s="2" t="s">
        <v>5120</v>
      </c>
      <c r="I506" s="3" t="s">
        <v>29</v>
      </c>
      <c r="J506" s="3" t="s">
        <v>5121</v>
      </c>
      <c r="K506" s="3" t="s">
        <v>47</v>
      </c>
      <c r="L506" s="3" t="s">
        <v>167</v>
      </c>
      <c r="M506" s="3" t="s">
        <v>5122</v>
      </c>
      <c r="N506" s="3" t="s">
        <v>5123</v>
      </c>
      <c r="O506" s="3" t="s">
        <v>5124</v>
      </c>
      <c r="P506" s="3" t="s">
        <v>5125</v>
      </c>
      <c r="Q506" s="3" t="s">
        <v>5126</v>
      </c>
      <c r="R506" s="3" t="s">
        <v>5126</v>
      </c>
      <c r="S506" s="2" t="s">
        <v>38</v>
      </c>
      <c r="T506" s="2" t="s">
        <v>39</v>
      </c>
      <c r="U506" s="2" t="s">
        <v>40</v>
      </c>
      <c r="V506" s="3"/>
    </row>
    <row r="507" spans="1:22">
      <c r="A507" s="2">
        <v>506</v>
      </c>
      <c r="B507" s="3" t="s">
        <v>5079</v>
      </c>
      <c r="C507" s="3" t="s">
        <v>5127</v>
      </c>
      <c r="D507" s="3" t="s">
        <v>5128</v>
      </c>
      <c r="E507" s="2" t="s">
        <v>185</v>
      </c>
      <c r="F507" s="2" t="s">
        <v>26</v>
      </c>
      <c r="G507" s="3" t="s">
        <v>5129</v>
      </c>
      <c r="H507" s="2" t="s">
        <v>5130</v>
      </c>
      <c r="I507" s="3" t="s">
        <v>29</v>
      </c>
      <c r="J507" s="3" t="s">
        <v>5131</v>
      </c>
      <c r="K507" s="3" t="s">
        <v>47</v>
      </c>
      <c r="L507" s="3" t="s">
        <v>323</v>
      </c>
      <c r="M507" s="3" t="s">
        <v>5132</v>
      </c>
      <c r="N507" s="3" t="s">
        <v>3280</v>
      </c>
      <c r="O507" s="3" t="s">
        <v>5133</v>
      </c>
      <c r="P507" s="3" t="s">
        <v>5134</v>
      </c>
      <c r="Q507" s="3" t="s">
        <v>5135</v>
      </c>
      <c r="R507" s="3" t="s">
        <v>5135</v>
      </c>
      <c r="S507" s="2" t="s">
        <v>38</v>
      </c>
      <c r="T507" s="2" t="s">
        <v>39</v>
      </c>
      <c r="U507" s="2" t="s">
        <v>40</v>
      </c>
      <c r="V507" s="3"/>
    </row>
    <row r="508" spans="1:22">
      <c r="A508" s="2">
        <v>507</v>
      </c>
      <c r="B508" s="3" t="s">
        <v>5079</v>
      </c>
      <c r="C508" s="3" t="s">
        <v>5136</v>
      </c>
      <c r="D508" s="3" t="s">
        <v>5137</v>
      </c>
      <c r="E508" s="2" t="s">
        <v>69</v>
      </c>
      <c r="F508" s="2" t="s">
        <v>26</v>
      </c>
      <c r="G508" s="3" t="s">
        <v>5138</v>
      </c>
      <c r="H508" s="2" t="s">
        <v>5139</v>
      </c>
      <c r="I508" s="3" t="s">
        <v>29</v>
      </c>
      <c r="J508" s="3" t="s">
        <v>5140</v>
      </c>
      <c r="K508" s="3" t="s">
        <v>47</v>
      </c>
      <c r="L508" s="3" t="s">
        <v>323</v>
      </c>
      <c r="M508" s="3" t="s">
        <v>5141</v>
      </c>
      <c r="N508" s="3" t="s">
        <v>5142</v>
      </c>
      <c r="O508" s="3" t="s">
        <v>5143</v>
      </c>
      <c r="P508" s="3" t="s">
        <v>5144</v>
      </c>
      <c r="Q508" s="3" t="s">
        <v>5145</v>
      </c>
      <c r="R508" s="3" t="s">
        <v>5145</v>
      </c>
      <c r="S508" s="2" t="s">
        <v>38</v>
      </c>
      <c r="T508" s="2" t="s">
        <v>39</v>
      </c>
      <c r="U508" s="2" t="s">
        <v>40</v>
      </c>
      <c r="V508" s="3"/>
    </row>
    <row r="509" spans="1:22">
      <c r="A509" s="2">
        <v>508</v>
      </c>
      <c r="B509" s="3" t="s">
        <v>5079</v>
      </c>
      <c r="C509" s="3" t="s">
        <v>5146</v>
      </c>
      <c r="D509" s="3" t="s">
        <v>5147</v>
      </c>
      <c r="E509" s="2" t="s">
        <v>116</v>
      </c>
      <c r="F509" s="2" t="s">
        <v>43</v>
      </c>
      <c r="G509" s="3" t="s">
        <v>5148</v>
      </c>
      <c r="H509" s="2" t="s">
        <v>5149</v>
      </c>
      <c r="I509" s="3" t="s">
        <v>29</v>
      </c>
      <c r="J509" s="3" t="s">
        <v>5150</v>
      </c>
      <c r="K509" s="3" t="s">
        <v>47</v>
      </c>
      <c r="L509" s="3" t="s">
        <v>145</v>
      </c>
      <c r="M509" s="3" t="s">
        <v>989</v>
      </c>
      <c r="N509" s="3" t="s">
        <v>5151</v>
      </c>
      <c r="O509" s="3" t="s">
        <v>5152</v>
      </c>
      <c r="P509" s="3" t="s">
        <v>5153</v>
      </c>
      <c r="Q509" s="3" t="s">
        <v>5154</v>
      </c>
      <c r="R509" s="3" t="s">
        <v>5154</v>
      </c>
      <c r="S509" s="2" t="s">
        <v>38</v>
      </c>
      <c r="T509" s="2" t="s">
        <v>39</v>
      </c>
      <c r="U509" s="2" t="s">
        <v>40</v>
      </c>
      <c r="V509" s="3"/>
    </row>
    <row r="510" spans="1:22">
      <c r="A510" s="2">
        <v>509</v>
      </c>
      <c r="B510" s="3" t="s">
        <v>5079</v>
      </c>
      <c r="C510" s="3" t="s">
        <v>5155</v>
      </c>
      <c r="D510" s="3" t="s">
        <v>5156</v>
      </c>
      <c r="E510" s="2" t="s">
        <v>81</v>
      </c>
      <c r="F510" s="2" t="s">
        <v>43</v>
      </c>
      <c r="G510" s="3" t="s">
        <v>5157</v>
      </c>
      <c r="H510" s="2" t="s">
        <v>5158</v>
      </c>
      <c r="I510" s="3" t="s">
        <v>29</v>
      </c>
      <c r="J510" s="3" t="s">
        <v>5159</v>
      </c>
      <c r="K510" s="3" t="s">
        <v>47</v>
      </c>
      <c r="L510" s="3" t="s">
        <v>167</v>
      </c>
      <c r="M510" s="3" t="s">
        <v>5160</v>
      </c>
      <c r="N510" s="3" t="s">
        <v>5161</v>
      </c>
      <c r="O510" s="3" t="s">
        <v>5162</v>
      </c>
      <c r="P510" s="3" t="s">
        <v>5163</v>
      </c>
      <c r="Q510" s="3" t="s">
        <v>5164</v>
      </c>
      <c r="R510" s="3" t="s">
        <v>5164</v>
      </c>
      <c r="S510" s="2" t="s">
        <v>38</v>
      </c>
      <c r="T510" s="2" t="s">
        <v>39</v>
      </c>
      <c r="U510" s="2" t="s">
        <v>40</v>
      </c>
      <c r="V510" s="3"/>
    </row>
    <row r="511" spans="1:22">
      <c r="A511" s="2">
        <v>510</v>
      </c>
      <c r="B511" s="3" t="s">
        <v>5079</v>
      </c>
      <c r="C511" s="3" t="s">
        <v>5165</v>
      </c>
      <c r="D511" s="3" t="s">
        <v>5166</v>
      </c>
      <c r="E511" s="2" t="s">
        <v>69</v>
      </c>
      <c r="F511" s="2" t="s">
        <v>26</v>
      </c>
      <c r="G511" s="3" t="s">
        <v>5167</v>
      </c>
      <c r="H511" s="2" t="s">
        <v>5168</v>
      </c>
      <c r="I511" s="3" t="s">
        <v>29</v>
      </c>
      <c r="J511" s="3" t="s">
        <v>5169</v>
      </c>
      <c r="K511" s="3" t="s">
        <v>272</v>
      </c>
      <c r="L511" s="3" t="s">
        <v>323</v>
      </c>
      <c r="M511" s="3" t="s">
        <v>5065</v>
      </c>
      <c r="N511" s="3" t="s">
        <v>3280</v>
      </c>
      <c r="O511" s="3" t="s">
        <v>5170</v>
      </c>
      <c r="P511" s="3" t="s">
        <v>5171</v>
      </c>
      <c r="Q511" s="3" t="s">
        <v>5172</v>
      </c>
      <c r="R511" s="3" t="s">
        <v>5172</v>
      </c>
      <c r="S511" s="2" t="s">
        <v>38</v>
      </c>
      <c r="T511" s="2" t="s">
        <v>39</v>
      </c>
      <c r="U511" s="2" t="s">
        <v>40</v>
      </c>
      <c r="V511" s="3"/>
    </row>
    <row r="512" spans="1:22">
      <c r="A512" s="2">
        <v>511</v>
      </c>
      <c r="B512" s="3" t="s">
        <v>5079</v>
      </c>
      <c r="C512" s="3" t="s">
        <v>5173</v>
      </c>
      <c r="D512" s="3" t="s">
        <v>5174</v>
      </c>
      <c r="E512" s="2" t="s">
        <v>116</v>
      </c>
      <c r="F512" s="2" t="s">
        <v>26</v>
      </c>
      <c r="G512" s="3" t="s">
        <v>5175</v>
      </c>
      <c r="H512" s="2" t="s">
        <v>5176</v>
      </c>
      <c r="I512" s="3" t="s">
        <v>29</v>
      </c>
      <c r="J512" s="3" t="s">
        <v>5064</v>
      </c>
      <c r="K512" s="3" t="s">
        <v>47</v>
      </c>
      <c r="L512" s="3" t="s">
        <v>167</v>
      </c>
      <c r="M512" s="3" t="s">
        <v>5177</v>
      </c>
      <c r="N512" s="3" t="s">
        <v>5178</v>
      </c>
      <c r="O512" s="3" t="s">
        <v>5179</v>
      </c>
      <c r="P512" s="3" t="s">
        <v>5180</v>
      </c>
      <c r="Q512" s="3" t="s">
        <v>5181</v>
      </c>
      <c r="R512" s="3" t="s">
        <v>5181</v>
      </c>
      <c r="S512" s="2" t="s">
        <v>38</v>
      </c>
      <c r="T512" s="2" t="s">
        <v>39</v>
      </c>
      <c r="U512" s="2" t="s">
        <v>40</v>
      </c>
      <c r="V512" s="3"/>
    </row>
    <row r="513" spans="1:22">
      <c r="A513" s="2">
        <v>512</v>
      </c>
      <c r="B513" s="3" t="s">
        <v>5079</v>
      </c>
      <c r="C513" s="3" t="s">
        <v>5182</v>
      </c>
      <c r="D513" s="3" t="s">
        <v>5183</v>
      </c>
      <c r="E513" s="2" t="s">
        <v>206</v>
      </c>
      <c r="F513" s="2" t="s">
        <v>26</v>
      </c>
      <c r="G513" s="3" t="s">
        <v>5184</v>
      </c>
      <c r="H513" s="2" t="s">
        <v>5185</v>
      </c>
      <c r="I513" s="3" t="s">
        <v>29</v>
      </c>
      <c r="J513" s="3" t="s">
        <v>5044</v>
      </c>
      <c r="K513" s="3" t="s">
        <v>47</v>
      </c>
      <c r="L513" s="3" t="s">
        <v>167</v>
      </c>
      <c r="M513" s="3" t="s">
        <v>5186</v>
      </c>
      <c r="N513" s="3" t="s">
        <v>5161</v>
      </c>
      <c r="O513" s="3" t="s">
        <v>5187</v>
      </c>
      <c r="P513" s="3" t="s">
        <v>5188</v>
      </c>
      <c r="Q513" s="3" t="s">
        <v>5189</v>
      </c>
      <c r="R513" s="3" t="s">
        <v>5189</v>
      </c>
      <c r="S513" s="2" t="s">
        <v>38</v>
      </c>
      <c r="T513" s="2" t="s">
        <v>39</v>
      </c>
      <c r="U513" s="2" t="s">
        <v>40</v>
      </c>
      <c r="V513" s="3"/>
    </row>
    <row r="514" spans="1:22">
      <c r="A514" s="2">
        <v>513</v>
      </c>
      <c r="B514" s="3" t="s">
        <v>5079</v>
      </c>
      <c r="C514" s="3" t="s">
        <v>5190</v>
      </c>
      <c r="D514" s="3" t="s">
        <v>5191</v>
      </c>
      <c r="E514" s="2" t="s">
        <v>257</v>
      </c>
      <c r="F514" s="2" t="s">
        <v>26</v>
      </c>
      <c r="G514" s="3" t="s">
        <v>5192</v>
      </c>
      <c r="H514" s="2" t="s">
        <v>5193</v>
      </c>
      <c r="I514" s="3" t="s">
        <v>29</v>
      </c>
      <c r="J514" s="3" t="s">
        <v>5044</v>
      </c>
      <c r="K514" s="3" t="s">
        <v>47</v>
      </c>
      <c r="L514" s="3" t="s">
        <v>132</v>
      </c>
      <c r="M514" s="3" t="s">
        <v>5074</v>
      </c>
      <c r="N514" s="3" t="s">
        <v>5194</v>
      </c>
      <c r="O514" s="3" t="s">
        <v>5195</v>
      </c>
      <c r="P514" s="3" t="s">
        <v>5196</v>
      </c>
      <c r="Q514" s="3" t="s">
        <v>5197</v>
      </c>
      <c r="R514" s="3" t="s">
        <v>5197</v>
      </c>
      <c r="S514" s="2" t="s">
        <v>38</v>
      </c>
      <c r="T514" s="2" t="s">
        <v>39</v>
      </c>
      <c r="U514" s="2" t="s">
        <v>40</v>
      </c>
      <c r="V514" s="3"/>
    </row>
    <row r="515" spans="1:22">
      <c r="A515" s="2">
        <v>514</v>
      </c>
      <c r="B515" s="3" t="s">
        <v>5079</v>
      </c>
      <c r="C515" s="3" t="s">
        <v>5198</v>
      </c>
      <c r="D515" s="3" t="s">
        <v>5199</v>
      </c>
      <c r="E515" s="2" t="s">
        <v>206</v>
      </c>
      <c r="F515" s="2" t="s">
        <v>26</v>
      </c>
      <c r="G515" s="3" t="s">
        <v>5200</v>
      </c>
      <c r="H515" s="2" t="s">
        <v>5201</v>
      </c>
      <c r="I515" s="3" t="s">
        <v>29</v>
      </c>
      <c r="J515" s="3" t="s">
        <v>5202</v>
      </c>
      <c r="K515" s="3" t="s">
        <v>107</v>
      </c>
      <c r="L515" s="3" t="s">
        <v>132</v>
      </c>
      <c r="M515" s="3" t="s">
        <v>5203</v>
      </c>
      <c r="N515" s="3" t="s">
        <v>5204</v>
      </c>
      <c r="O515" s="3" t="s">
        <v>5205</v>
      </c>
      <c r="P515" s="3" t="s">
        <v>5206</v>
      </c>
      <c r="Q515" s="3" t="s">
        <v>5207</v>
      </c>
      <c r="R515" s="3" t="s">
        <v>5207</v>
      </c>
      <c r="S515" s="2" t="s">
        <v>38</v>
      </c>
      <c r="T515" s="2" t="s">
        <v>39</v>
      </c>
      <c r="U515" s="2" t="s">
        <v>40</v>
      </c>
      <c r="V515" s="3"/>
    </row>
    <row r="516" spans="1:22">
      <c r="A516" s="2">
        <v>515</v>
      </c>
      <c r="B516" s="3" t="s">
        <v>5079</v>
      </c>
      <c r="C516" s="3" t="s">
        <v>5208</v>
      </c>
      <c r="D516" s="3" t="s">
        <v>5209</v>
      </c>
      <c r="E516" s="2" t="s">
        <v>81</v>
      </c>
      <c r="F516" s="2" t="s">
        <v>43</v>
      </c>
      <c r="G516" s="3" t="s">
        <v>5210</v>
      </c>
      <c r="H516" s="2" t="s">
        <v>5211</v>
      </c>
      <c r="I516" s="3" t="s">
        <v>29</v>
      </c>
      <c r="J516" s="3" t="s">
        <v>5159</v>
      </c>
      <c r="K516" s="3" t="s">
        <v>272</v>
      </c>
      <c r="L516" s="3" t="s">
        <v>108</v>
      </c>
      <c r="M516" s="3" t="s">
        <v>5122</v>
      </c>
      <c r="N516" s="3" t="s">
        <v>5212</v>
      </c>
      <c r="O516" s="3" t="s">
        <v>5213</v>
      </c>
      <c r="P516" s="3" t="s">
        <v>5214</v>
      </c>
      <c r="Q516" s="3" t="s">
        <v>5215</v>
      </c>
      <c r="R516" s="3" t="s">
        <v>5215</v>
      </c>
      <c r="S516" s="2" t="s">
        <v>38</v>
      </c>
      <c r="T516" s="2" t="s">
        <v>39</v>
      </c>
      <c r="U516" s="2" t="s">
        <v>40</v>
      </c>
      <c r="V516" s="3"/>
    </row>
    <row r="517" spans="1:22">
      <c r="A517" s="2">
        <v>516</v>
      </c>
      <c r="B517" s="3" t="s">
        <v>5079</v>
      </c>
      <c r="C517" s="3" t="s">
        <v>5216</v>
      </c>
      <c r="D517" s="3" t="s">
        <v>5217</v>
      </c>
      <c r="E517" s="2" t="s">
        <v>206</v>
      </c>
      <c r="F517" s="2" t="s">
        <v>26</v>
      </c>
      <c r="G517" s="3" t="s">
        <v>5218</v>
      </c>
      <c r="H517" s="2" t="s">
        <v>5219</v>
      </c>
      <c r="I517" s="3" t="s">
        <v>29</v>
      </c>
      <c r="J517" s="3" t="s">
        <v>5169</v>
      </c>
      <c r="K517" s="3" t="s">
        <v>47</v>
      </c>
      <c r="L517" s="3" t="s">
        <v>167</v>
      </c>
      <c r="M517" s="3" t="s">
        <v>5220</v>
      </c>
      <c r="N517" s="3" t="s">
        <v>5221</v>
      </c>
      <c r="O517" s="3" t="s">
        <v>5222</v>
      </c>
      <c r="P517" s="3" t="s">
        <v>5223</v>
      </c>
      <c r="Q517" s="3" t="s">
        <v>5224</v>
      </c>
      <c r="R517" s="3" t="s">
        <v>5224</v>
      </c>
      <c r="S517" s="2" t="s">
        <v>38</v>
      </c>
      <c r="T517" s="2" t="s">
        <v>39</v>
      </c>
      <c r="U517" s="2" t="s">
        <v>40</v>
      </c>
      <c r="V517" s="3"/>
    </row>
    <row r="518" spans="1:22">
      <c r="A518" s="2">
        <v>517</v>
      </c>
      <c r="B518" s="3" t="s">
        <v>5079</v>
      </c>
      <c r="C518" s="3" t="s">
        <v>5225</v>
      </c>
      <c r="D518" s="3" t="s">
        <v>5226</v>
      </c>
      <c r="E518" s="2" t="s">
        <v>1017</v>
      </c>
      <c r="F518" s="2" t="s">
        <v>26</v>
      </c>
      <c r="G518" s="3" t="s">
        <v>5227</v>
      </c>
      <c r="H518" s="2" t="s">
        <v>5228</v>
      </c>
      <c r="I518" s="3" t="s">
        <v>29</v>
      </c>
      <c r="J518" s="3" t="s">
        <v>5229</v>
      </c>
      <c r="K518" s="3" t="s">
        <v>47</v>
      </c>
      <c r="L518" s="3" t="s">
        <v>132</v>
      </c>
      <c r="M518" s="3" t="s">
        <v>5230</v>
      </c>
      <c r="N518" s="3" t="s">
        <v>5231</v>
      </c>
      <c r="O518" s="3" t="s">
        <v>5232</v>
      </c>
      <c r="P518" s="3" t="s">
        <v>5233</v>
      </c>
      <c r="Q518" s="3" t="s">
        <v>5234</v>
      </c>
      <c r="R518" s="3" t="s">
        <v>5234</v>
      </c>
      <c r="S518" s="2" t="s">
        <v>38</v>
      </c>
      <c r="T518" s="2" t="s">
        <v>39</v>
      </c>
      <c r="U518" s="2" t="s">
        <v>40</v>
      </c>
      <c r="V518" s="3"/>
    </row>
    <row r="519" spans="1:22">
      <c r="A519" s="2">
        <v>518</v>
      </c>
      <c r="B519" s="3" t="s">
        <v>5079</v>
      </c>
      <c r="C519" s="3" t="s">
        <v>5235</v>
      </c>
      <c r="D519" s="3" t="s">
        <v>5236</v>
      </c>
      <c r="E519" s="2" t="s">
        <v>185</v>
      </c>
      <c r="F519" s="2" t="s">
        <v>26</v>
      </c>
      <c r="G519" s="3" t="s">
        <v>5237</v>
      </c>
      <c r="H519" s="2" t="s">
        <v>5238</v>
      </c>
      <c r="I519" s="3" t="s">
        <v>29</v>
      </c>
      <c r="J519" s="3" t="s">
        <v>5169</v>
      </c>
      <c r="K519" s="3" t="s">
        <v>272</v>
      </c>
      <c r="L519" s="3" t="s">
        <v>323</v>
      </c>
      <c r="M519" s="3" t="s">
        <v>5065</v>
      </c>
      <c r="N519" s="3" t="s">
        <v>5151</v>
      </c>
      <c r="O519" s="3" t="s">
        <v>5239</v>
      </c>
      <c r="P519" s="3" t="s">
        <v>5240</v>
      </c>
      <c r="Q519" s="3" t="s">
        <v>5241</v>
      </c>
      <c r="R519" s="3" t="s">
        <v>5241</v>
      </c>
      <c r="S519" s="2" t="s">
        <v>38</v>
      </c>
      <c r="T519" s="2" t="s">
        <v>39</v>
      </c>
      <c r="U519" s="2" t="s">
        <v>40</v>
      </c>
      <c r="V519" s="3"/>
    </row>
    <row r="520" spans="1:22">
      <c r="A520" s="2">
        <v>519</v>
      </c>
      <c r="B520" s="3" t="s">
        <v>5079</v>
      </c>
      <c r="C520" s="3" t="s">
        <v>5242</v>
      </c>
      <c r="D520" s="3" t="s">
        <v>5243</v>
      </c>
      <c r="E520" s="2" t="s">
        <v>103</v>
      </c>
      <c r="F520" s="2" t="s">
        <v>43</v>
      </c>
      <c r="G520" s="3" t="s">
        <v>5244</v>
      </c>
      <c r="H520" s="2" t="s">
        <v>5245</v>
      </c>
      <c r="I520" s="3" t="s">
        <v>29</v>
      </c>
      <c r="J520" s="3" t="s">
        <v>5121</v>
      </c>
      <c r="K520" s="3" t="s">
        <v>47</v>
      </c>
      <c r="L520" s="3" t="s">
        <v>293</v>
      </c>
      <c r="M520" s="3" t="s">
        <v>5246</v>
      </c>
      <c r="N520" s="3" t="s">
        <v>5247</v>
      </c>
      <c r="O520" s="3" t="s">
        <v>5248</v>
      </c>
      <c r="P520" s="3" t="s">
        <v>5249</v>
      </c>
      <c r="Q520" s="3" t="s">
        <v>5250</v>
      </c>
      <c r="R520" s="3" t="s">
        <v>5250</v>
      </c>
      <c r="S520" s="2" t="s">
        <v>38</v>
      </c>
      <c r="T520" s="2" t="s">
        <v>39</v>
      </c>
      <c r="U520" s="2" t="s">
        <v>40</v>
      </c>
      <c r="V520" s="3"/>
    </row>
    <row r="521" spans="1:22">
      <c r="A521" s="2">
        <v>520</v>
      </c>
      <c r="B521" s="3" t="s">
        <v>5079</v>
      </c>
      <c r="C521" s="3" t="s">
        <v>5251</v>
      </c>
      <c r="D521" s="3" t="s">
        <v>5252</v>
      </c>
      <c r="E521" s="2" t="s">
        <v>56</v>
      </c>
      <c r="F521" s="2" t="s">
        <v>26</v>
      </c>
      <c r="G521" s="3" t="s">
        <v>5253</v>
      </c>
      <c r="H521" s="2" t="s">
        <v>5254</v>
      </c>
      <c r="I521" s="3" t="s">
        <v>29</v>
      </c>
      <c r="J521" s="3" t="s">
        <v>5255</v>
      </c>
      <c r="K521" s="3" t="s">
        <v>47</v>
      </c>
      <c r="L521" s="3" t="s">
        <v>73</v>
      </c>
      <c r="M521" s="3" t="s">
        <v>5256</v>
      </c>
      <c r="N521" s="3" t="s">
        <v>5257</v>
      </c>
      <c r="O521" s="3" t="s">
        <v>5258</v>
      </c>
      <c r="P521" s="3" t="s">
        <v>5259</v>
      </c>
      <c r="Q521" s="3" t="s">
        <v>5260</v>
      </c>
      <c r="R521" s="3" t="s">
        <v>5260</v>
      </c>
      <c r="S521" s="2" t="s">
        <v>38</v>
      </c>
      <c r="T521" s="2" t="s">
        <v>39</v>
      </c>
      <c r="U521" s="2" t="s">
        <v>40</v>
      </c>
      <c r="V521" s="3"/>
    </row>
    <row r="522" spans="1:22">
      <c r="A522" s="2">
        <v>521</v>
      </c>
      <c r="B522" s="3" t="s">
        <v>5079</v>
      </c>
      <c r="C522" s="3" t="s">
        <v>5261</v>
      </c>
      <c r="D522" s="3" t="s">
        <v>5262</v>
      </c>
      <c r="E522" s="2" t="s">
        <v>25</v>
      </c>
      <c r="F522" s="2" t="s">
        <v>43</v>
      </c>
      <c r="G522" s="3" t="s">
        <v>5263</v>
      </c>
      <c r="H522" s="2" t="s">
        <v>5264</v>
      </c>
      <c r="I522" s="3" t="s">
        <v>29</v>
      </c>
      <c r="J522" s="3" t="s">
        <v>5265</v>
      </c>
      <c r="K522" s="3" t="s">
        <v>47</v>
      </c>
      <c r="L522" s="3" t="s">
        <v>132</v>
      </c>
      <c r="M522" s="3" t="s">
        <v>5266</v>
      </c>
      <c r="N522" s="3" t="s">
        <v>5267</v>
      </c>
      <c r="O522" s="3" t="s">
        <v>5268</v>
      </c>
      <c r="P522" s="3" t="s">
        <v>5269</v>
      </c>
      <c r="Q522" s="3" t="s">
        <v>5270</v>
      </c>
      <c r="R522" s="3" t="s">
        <v>5270</v>
      </c>
      <c r="S522" s="2" t="s">
        <v>38</v>
      </c>
      <c r="T522" s="2" t="s">
        <v>39</v>
      </c>
      <c r="U522" s="2" t="s">
        <v>40</v>
      </c>
      <c r="V522" s="3"/>
    </row>
    <row r="523" spans="1:22">
      <c r="A523" s="2">
        <v>522</v>
      </c>
      <c r="B523" s="3" t="s">
        <v>5079</v>
      </c>
      <c r="C523" s="3" t="s">
        <v>5271</v>
      </c>
      <c r="D523" s="3" t="s">
        <v>5272</v>
      </c>
      <c r="E523" s="2" t="s">
        <v>81</v>
      </c>
      <c r="F523" s="2" t="s">
        <v>26</v>
      </c>
      <c r="G523" s="3" t="s">
        <v>5273</v>
      </c>
      <c r="H523" s="2" t="s">
        <v>5274</v>
      </c>
      <c r="I523" s="3" t="s">
        <v>29</v>
      </c>
      <c r="J523" s="3" t="s">
        <v>5275</v>
      </c>
      <c r="K523" s="3" t="s">
        <v>365</v>
      </c>
      <c r="L523" s="3" t="s">
        <v>323</v>
      </c>
      <c r="M523" s="3" t="s">
        <v>5276</v>
      </c>
      <c r="N523" s="3" t="s">
        <v>5212</v>
      </c>
      <c r="O523" s="3" t="s">
        <v>5277</v>
      </c>
      <c r="P523" s="3" t="s">
        <v>5278</v>
      </c>
      <c r="Q523" s="3" t="s">
        <v>5279</v>
      </c>
      <c r="R523" s="3" t="s">
        <v>5279</v>
      </c>
      <c r="S523" s="2" t="s">
        <v>38</v>
      </c>
      <c r="T523" s="2" t="s">
        <v>39</v>
      </c>
      <c r="U523" s="2" t="s">
        <v>40</v>
      </c>
      <c r="V523" s="3"/>
    </row>
    <row r="524" spans="1:22">
      <c r="A524" s="2">
        <v>523</v>
      </c>
      <c r="B524" s="3" t="s">
        <v>5079</v>
      </c>
      <c r="C524" s="3" t="s">
        <v>5280</v>
      </c>
      <c r="D524" s="3" t="s">
        <v>5281</v>
      </c>
      <c r="E524" s="2" t="s">
        <v>81</v>
      </c>
      <c r="F524" s="2" t="s">
        <v>26</v>
      </c>
      <c r="G524" s="3" t="s">
        <v>5282</v>
      </c>
      <c r="H524" s="2" t="s">
        <v>5283</v>
      </c>
      <c r="I524" s="3" t="s">
        <v>29</v>
      </c>
      <c r="J524" s="3" t="s">
        <v>5284</v>
      </c>
      <c r="K524" s="3" t="s">
        <v>47</v>
      </c>
      <c r="L524" s="3" t="s">
        <v>167</v>
      </c>
      <c r="M524" s="3" t="s">
        <v>5285</v>
      </c>
      <c r="N524" s="3" t="s">
        <v>5286</v>
      </c>
      <c r="O524" s="3" t="s">
        <v>5287</v>
      </c>
      <c r="P524" s="3" t="s">
        <v>5288</v>
      </c>
      <c r="Q524" s="3" t="s">
        <v>5289</v>
      </c>
      <c r="R524" s="3" t="s">
        <v>5289</v>
      </c>
      <c r="S524" s="2" t="s">
        <v>38</v>
      </c>
      <c r="T524" s="2" t="s">
        <v>39</v>
      </c>
      <c r="U524" s="2" t="s">
        <v>40</v>
      </c>
      <c r="V524" s="3"/>
    </row>
    <row r="525" spans="1:22">
      <c r="A525" s="2">
        <v>524</v>
      </c>
      <c r="B525" s="3" t="s">
        <v>5079</v>
      </c>
      <c r="C525" s="3" t="s">
        <v>5290</v>
      </c>
      <c r="D525" s="3" t="s">
        <v>5291</v>
      </c>
      <c r="E525" s="2" t="s">
        <v>206</v>
      </c>
      <c r="F525" s="2" t="s">
        <v>26</v>
      </c>
      <c r="G525" s="3" t="s">
        <v>5292</v>
      </c>
      <c r="H525" s="2" t="s">
        <v>5293</v>
      </c>
      <c r="I525" s="3" t="s">
        <v>29</v>
      </c>
      <c r="J525" s="3" t="s">
        <v>5294</v>
      </c>
      <c r="K525" s="3" t="s">
        <v>47</v>
      </c>
      <c r="L525" s="3" t="s">
        <v>167</v>
      </c>
      <c r="M525" s="3" t="s">
        <v>5295</v>
      </c>
      <c r="N525" s="3" t="s">
        <v>5296</v>
      </c>
      <c r="O525" s="3" t="s">
        <v>5297</v>
      </c>
      <c r="P525" s="3" t="s">
        <v>5298</v>
      </c>
      <c r="Q525" s="3" t="s">
        <v>5299</v>
      </c>
      <c r="R525" s="3" t="s">
        <v>5299</v>
      </c>
      <c r="S525" s="2" t="s">
        <v>38</v>
      </c>
      <c r="T525" s="2" t="s">
        <v>39</v>
      </c>
      <c r="U525" s="2" t="s">
        <v>40</v>
      </c>
      <c r="V525" s="3"/>
    </row>
    <row r="526" spans="1:22">
      <c r="A526" s="2">
        <v>525</v>
      </c>
      <c r="B526" s="3" t="s">
        <v>5079</v>
      </c>
      <c r="C526" s="3" t="s">
        <v>5300</v>
      </c>
      <c r="D526" s="3" t="s">
        <v>5301</v>
      </c>
      <c r="E526" s="2" t="s">
        <v>69</v>
      </c>
      <c r="F526" s="2" t="s">
        <v>26</v>
      </c>
      <c r="G526" s="3" t="s">
        <v>5302</v>
      </c>
      <c r="H526" s="2" t="s">
        <v>5303</v>
      </c>
      <c r="I526" s="3" t="s">
        <v>29</v>
      </c>
      <c r="J526" s="3" t="s">
        <v>5064</v>
      </c>
      <c r="K526" s="3" t="s">
        <v>47</v>
      </c>
      <c r="L526" s="3" t="s">
        <v>323</v>
      </c>
      <c r="M526" s="3" t="s">
        <v>5304</v>
      </c>
      <c r="N526" s="3" t="s">
        <v>5305</v>
      </c>
      <c r="O526" s="3" t="s">
        <v>5306</v>
      </c>
      <c r="P526" s="3" t="s">
        <v>5307</v>
      </c>
      <c r="Q526" s="3" t="s">
        <v>5308</v>
      </c>
      <c r="R526" s="3" t="s">
        <v>5308</v>
      </c>
      <c r="S526" s="2" t="s">
        <v>38</v>
      </c>
      <c r="T526" s="2" t="s">
        <v>39</v>
      </c>
      <c r="U526" s="2" t="s">
        <v>40</v>
      </c>
      <c r="V526" s="3"/>
    </row>
    <row r="527" spans="1:22">
      <c r="A527" s="2">
        <v>526</v>
      </c>
      <c r="B527" s="3" t="s">
        <v>5079</v>
      </c>
      <c r="C527" s="3" t="s">
        <v>5309</v>
      </c>
      <c r="D527" s="3" t="s">
        <v>5310</v>
      </c>
      <c r="E527" s="2" t="s">
        <v>404</v>
      </c>
      <c r="F527" s="2" t="s">
        <v>43</v>
      </c>
      <c r="G527" s="3" t="s">
        <v>5311</v>
      </c>
      <c r="H527" s="2" t="s">
        <v>5312</v>
      </c>
      <c r="I527" s="3" t="s">
        <v>29</v>
      </c>
      <c r="J527" s="3" t="s">
        <v>5094</v>
      </c>
      <c r="K527" s="3" t="s">
        <v>47</v>
      </c>
      <c r="L527" s="3" t="s">
        <v>132</v>
      </c>
      <c r="M527" s="3" t="s">
        <v>5313</v>
      </c>
      <c r="N527" s="3" t="s">
        <v>5314</v>
      </c>
      <c r="O527" s="3" t="s">
        <v>5315</v>
      </c>
      <c r="P527" s="3" t="s">
        <v>5316</v>
      </c>
      <c r="Q527" s="3" t="s">
        <v>5317</v>
      </c>
      <c r="R527" s="3" t="s">
        <v>5317</v>
      </c>
      <c r="S527" s="2" t="s">
        <v>38</v>
      </c>
      <c r="T527" s="2" t="s">
        <v>39</v>
      </c>
      <c r="U527" s="2" t="s">
        <v>40</v>
      </c>
      <c r="V527" s="3"/>
    </row>
    <row r="528" spans="1:22">
      <c r="A528" s="2">
        <v>527</v>
      </c>
      <c r="B528" s="3" t="s">
        <v>5079</v>
      </c>
      <c r="C528" s="3" t="s">
        <v>5318</v>
      </c>
      <c r="D528" s="3" t="s">
        <v>5319</v>
      </c>
      <c r="E528" s="2" t="s">
        <v>69</v>
      </c>
      <c r="F528" s="2" t="s">
        <v>26</v>
      </c>
      <c r="G528" s="3" t="s">
        <v>5320</v>
      </c>
      <c r="H528" s="2" t="s">
        <v>5321</v>
      </c>
      <c r="I528" s="3" t="s">
        <v>29</v>
      </c>
      <c r="J528" s="3" t="s">
        <v>5322</v>
      </c>
      <c r="K528" s="3" t="s">
        <v>47</v>
      </c>
      <c r="L528" s="3" t="s">
        <v>167</v>
      </c>
      <c r="M528" s="3" t="s">
        <v>5323</v>
      </c>
      <c r="N528" s="3" t="s">
        <v>5324</v>
      </c>
      <c r="O528" s="3" t="s">
        <v>5325</v>
      </c>
      <c r="P528" s="3" t="s">
        <v>5326</v>
      </c>
      <c r="Q528" s="3" t="s">
        <v>5327</v>
      </c>
      <c r="R528" s="3" t="s">
        <v>5327</v>
      </c>
      <c r="S528" s="2" t="s">
        <v>38</v>
      </c>
      <c r="T528" s="2" t="s">
        <v>39</v>
      </c>
      <c r="U528" s="2" t="s">
        <v>40</v>
      </c>
      <c r="V528" s="3"/>
    </row>
    <row r="529" spans="1:22">
      <c r="A529" s="2">
        <v>528</v>
      </c>
      <c r="B529" s="3" t="s">
        <v>5079</v>
      </c>
      <c r="C529" s="3" t="s">
        <v>5328</v>
      </c>
      <c r="D529" s="3" t="s">
        <v>5329</v>
      </c>
      <c r="E529" s="2" t="s">
        <v>984</v>
      </c>
      <c r="F529" s="2" t="s">
        <v>43</v>
      </c>
      <c r="G529" s="3" t="s">
        <v>5330</v>
      </c>
      <c r="H529" s="2" t="s">
        <v>5331</v>
      </c>
      <c r="I529" s="3" t="s">
        <v>29</v>
      </c>
      <c r="J529" s="3" t="s">
        <v>5322</v>
      </c>
      <c r="K529" s="3" t="s">
        <v>47</v>
      </c>
      <c r="L529" s="3" t="s">
        <v>132</v>
      </c>
      <c r="M529" s="3" t="s">
        <v>5332</v>
      </c>
      <c r="N529" s="3" t="s">
        <v>5333</v>
      </c>
      <c r="O529" s="3" t="s">
        <v>5334</v>
      </c>
      <c r="P529" s="3" t="s">
        <v>5335</v>
      </c>
      <c r="Q529" s="3" t="s">
        <v>5336</v>
      </c>
      <c r="R529" s="3" t="s">
        <v>5336</v>
      </c>
      <c r="S529" s="2" t="s">
        <v>38</v>
      </c>
      <c r="T529" s="2" t="s">
        <v>39</v>
      </c>
      <c r="U529" s="2" t="s">
        <v>40</v>
      </c>
      <c r="V529" s="3"/>
    </row>
    <row r="530" spans="1:22">
      <c r="A530" s="2">
        <v>529</v>
      </c>
      <c r="B530" s="3" t="s">
        <v>5079</v>
      </c>
      <c r="C530" s="3" t="s">
        <v>5337</v>
      </c>
      <c r="D530" s="3" t="s">
        <v>5338</v>
      </c>
      <c r="E530" s="2" t="s">
        <v>69</v>
      </c>
      <c r="F530" s="2" t="s">
        <v>26</v>
      </c>
      <c r="G530" s="3" t="s">
        <v>5339</v>
      </c>
      <c r="H530" s="2" t="s">
        <v>5340</v>
      </c>
      <c r="I530" s="3" t="s">
        <v>29</v>
      </c>
      <c r="J530" s="3" t="s">
        <v>5341</v>
      </c>
      <c r="K530" s="3" t="s">
        <v>47</v>
      </c>
      <c r="L530" s="3" t="s">
        <v>73</v>
      </c>
      <c r="M530" s="3" t="s">
        <v>108</v>
      </c>
      <c r="N530" s="3" t="s">
        <v>5161</v>
      </c>
      <c r="O530" s="3" t="s">
        <v>5342</v>
      </c>
      <c r="P530" s="3" t="s">
        <v>5343</v>
      </c>
      <c r="Q530" s="3" t="s">
        <v>5344</v>
      </c>
      <c r="R530" s="3" t="s">
        <v>5344</v>
      </c>
      <c r="S530" s="2" t="s">
        <v>38</v>
      </c>
      <c r="T530" s="2" t="s">
        <v>39</v>
      </c>
      <c r="U530" s="2" t="s">
        <v>40</v>
      </c>
      <c r="V530" s="3"/>
    </row>
    <row r="531" spans="1:22">
      <c r="A531" s="2">
        <v>530</v>
      </c>
      <c r="B531" s="3" t="s">
        <v>5079</v>
      </c>
      <c r="C531" s="3" t="s">
        <v>5345</v>
      </c>
      <c r="D531" s="3" t="s">
        <v>5346</v>
      </c>
      <c r="E531" s="2" t="s">
        <v>984</v>
      </c>
      <c r="F531" s="2" t="s">
        <v>26</v>
      </c>
      <c r="G531" s="3" t="s">
        <v>5347</v>
      </c>
      <c r="H531" s="2" t="s">
        <v>5348</v>
      </c>
      <c r="I531" s="3" t="s">
        <v>29</v>
      </c>
      <c r="J531" s="3" t="s">
        <v>5255</v>
      </c>
      <c r="K531" s="3" t="s">
        <v>47</v>
      </c>
      <c r="L531" s="3" t="s">
        <v>132</v>
      </c>
      <c r="M531" s="3" t="s">
        <v>5349</v>
      </c>
      <c r="N531" s="3" t="s">
        <v>5350</v>
      </c>
      <c r="O531" s="3" t="s">
        <v>5351</v>
      </c>
      <c r="P531" s="3" t="s">
        <v>5352</v>
      </c>
      <c r="Q531" s="3" t="s">
        <v>5353</v>
      </c>
      <c r="R531" s="3" t="s">
        <v>5353</v>
      </c>
      <c r="S531" s="2" t="s">
        <v>38</v>
      </c>
      <c r="T531" s="2" t="s">
        <v>39</v>
      </c>
      <c r="U531" s="2" t="s">
        <v>40</v>
      </c>
      <c r="V531" s="3"/>
    </row>
    <row r="532" spans="1:22">
      <c r="A532" s="2">
        <v>531</v>
      </c>
      <c r="B532" s="3" t="s">
        <v>5079</v>
      </c>
      <c r="C532" s="3" t="s">
        <v>5354</v>
      </c>
      <c r="D532" s="3" t="s">
        <v>5355</v>
      </c>
      <c r="E532" s="2" t="s">
        <v>25</v>
      </c>
      <c r="F532" s="2" t="s">
        <v>26</v>
      </c>
      <c r="G532" s="3" t="s">
        <v>5356</v>
      </c>
      <c r="H532" s="2" t="s">
        <v>5357</v>
      </c>
      <c r="I532" s="3" t="s">
        <v>29</v>
      </c>
      <c r="J532" s="3" t="s">
        <v>5358</v>
      </c>
      <c r="K532" s="3" t="s">
        <v>47</v>
      </c>
      <c r="L532" s="3" t="s">
        <v>61</v>
      </c>
      <c r="M532" s="3" t="s">
        <v>5276</v>
      </c>
      <c r="N532" s="3" t="s">
        <v>5359</v>
      </c>
      <c r="O532" s="3" t="s">
        <v>5360</v>
      </c>
      <c r="P532" s="3" t="s">
        <v>5361</v>
      </c>
      <c r="Q532" s="3" t="s">
        <v>5362</v>
      </c>
      <c r="R532" s="3" t="s">
        <v>5362</v>
      </c>
      <c r="S532" s="2" t="s">
        <v>38</v>
      </c>
      <c r="T532" s="2" t="s">
        <v>39</v>
      </c>
      <c r="U532" s="2" t="s">
        <v>40</v>
      </c>
      <c r="V532" s="3"/>
    </row>
    <row r="533" spans="1:22">
      <c r="A533" s="2">
        <v>532</v>
      </c>
      <c r="B533" s="3" t="s">
        <v>5079</v>
      </c>
      <c r="C533" s="3" t="s">
        <v>5363</v>
      </c>
      <c r="D533" s="3" t="s">
        <v>5364</v>
      </c>
      <c r="E533" s="2" t="s">
        <v>81</v>
      </c>
      <c r="F533" s="2" t="s">
        <v>26</v>
      </c>
      <c r="G533" s="3" t="s">
        <v>5365</v>
      </c>
      <c r="H533" s="2" t="s">
        <v>5366</v>
      </c>
      <c r="I533" s="3" t="s">
        <v>29</v>
      </c>
      <c r="J533" s="3" t="s">
        <v>5150</v>
      </c>
      <c r="K533" s="3" t="s">
        <v>47</v>
      </c>
      <c r="L533" s="3" t="s">
        <v>132</v>
      </c>
      <c r="M533" s="3" t="s">
        <v>5367</v>
      </c>
      <c r="N533" s="3" t="s">
        <v>5368</v>
      </c>
      <c r="O533" s="3" t="s">
        <v>5369</v>
      </c>
      <c r="P533" s="3" t="s">
        <v>5370</v>
      </c>
      <c r="Q533" s="3" t="s">
        <v>5371</v>
      </c>
      <c r="R533" s="3" t="s">
        <v>5371</v>
      </c>
      <c r="S533" s="2" t="s">
        <v>38</v>
      </c>
      <c r="T533" s="2" t="s">
        <v>39</v>
      </c>
      <c r="U533" s="2" t="s">
        <v>40</v>
      </c>
      <c r="V533" s="3"/>
    </row>
    <row r="534" spans="1:22">
      <c r="A534" s="2">
        <v>533</v>
      </c>
      <c r="B534" s="3" t="s">
        <v>5079</v>
      </c>
      <c r="C534" s="3" t="s">
        <v>5372</v>
      </c>
      <c r="D534" s="3" t="s">
        <v>5373</v>
      </c>
      <c r="E534" s="2" t="s">
        <v>383</v>
      </c>
      <c r="F534" s="2" t="s">
        <v>43</v>
      </c>
      <c r="G534" s="3" t="s">
        <v>5374</v>
      </c>
      <c r="H534" s="2" t="s">
        <v>5375</v>
      </c>
      <c r="I534" s="3" t="s">
        <v>29</v>
      </c>
      <c r="J534" s="3" t="s">
        <v>5294</v>
      </c>
      <c r="K534" s="3" t="s">
        <v>47</v>
      </c>
      <c r="L534" s="3" t="s">
        <v>167</v>
      </c>
      <c r="M534" s="3" t="s">
        <v>5376</v>
      </c>
      <c r="N534" s="3" t="s">
        <v>5212</v>
      </c>
      <c r="O534" s="3" t="s">
        <v>5377</v>
      </c>
      <c r="P534" s="3" t="s">
        <v>5378</v>
      </c>
      <c r="Q534" s="3" t="s">
        <v>5379</v>
      </c>
      <c r="R534" s="3" t="s">
        <v>5379</v>
      </c>
      <c r="S534" s="2" t="s">
        <v>38</v>
      </c>
      <c r="T534" s="2" t="s">
        <v>39</v>
      </c>
      <c r="U534" s="2" t="s">
        <v>40</v>
      </c>
      <c r="V534" s="3"/>
    </row>
    <row r="535" spans="1:22">
      <c r="A535" s="2">
        <v>534</v>
      </c>
      <c r="B535" s="3" t="s">
        <v>5079</v>
      </c>
      <c r="C535" s="3" t="s">
        <v>5380</v>
      </c>
      <c r="D535" s="3" t="s">
        <v>5381</v>
      </c>
      <c r="E535" s="2" t="s">
        <v>257</v>
      </c>
      <c r="F535" s="2" t="s">
        <v>26</v>
      </c>
      <c r="G535" s="3" t="s">
        <v>5382</v>
      </c>
      <c r="H535" s="2" t="s">
        <v>5383</v>
      </c>
      <c r="I535" s="3" t="s">
        <v>29</v>
      </c>
      <c r="J535" s="3" t="s">
        <v>5229</v>
      </c>
      <c r="K535" s="3" t="s">
        <v>47</v>
      </c>
      <c r="L535" s="3" t="s">
        <v>167</v>
      </c>
      <c r="M535" s="3" t="s">
        <v>5384</v>
      </c>
      <c r="N535" s="3" t="s">
        <v>5385</v>
      </c>
      <c r="O535" s="3" t="s">
        <v>5386</v>
      </c>
      <c r="P535" s="3" t="s">
        <v>5387</v>
      </c>
      <c r="Q535" s="3" t="s">
        <v>5388</v>
      </c>
      <c r="R535" s="3" t="s">
        <v>5388</v>
      </c>
      <c r="S535" s="2" t="s">
        <v>38</v>
      </c>
      <c r="T535" s="2" t="s">
        <v>39</v>
      </c>
      <c r="U535" s="2" t="s">
        <v>40</v>
      </c>
      <c r="V535" s="3"/>
    </row>
    <row r="536" spans="1:22">
      <c r="A536" s="2">
        <v>535</v>
      </c>
      <c r="B536" s="3" t="s">
        <v>5079</v>
      </c>
      <c r="C536" s="3" t="s">
        <v>5389</v>
      </c>
      <c r="D536" s="3" t="s">
        <v>5390</v>
      </c>
      <c r="E536" s="2" t="s">
        <v>913</v>
      </c>
      <c r="F536" s="2" t="s">
        <v>26</v>
      </c>
      <c r="G536" s="3" t="s">
        <v>5391</v>
      </c>
      <c r="H536" s="2" t="s">
        <v>5392</v>
      </c>
      <c r="I536" s="3" t="s">
        <v>29</v>
      </c>
      <c r="J536" s="3" t="s">
        <v>5202</v>
      </c>
      <c r="K536" s="3" t="s">
        <v>47</v>
      </c>
      <c r="L536" s="3" t="s">
        <v>167</v>
      </c>
      <c r="M536" s="3" t="s">
        <v>5393</v>
      </c>
      <c r="N536" s="3" t="s">
        <v>5394</v>
      </c>
      <c r="O536" s="3" t="s">
        <v>5395</v>
      </c>
      <c r="P536" s="3" t="s">
        <v>5396</v>
      </c>
      <c r="Q536" s="3" t="s">
        <v>5397</v>
      </c>
      <c r="R536" s="3" t="s">
        <v>5397</v>
      </c>
      <c r="S536" s="2" t="s">
        <v>38</v>
      </c>
      <c r="T536" s="2" t="s">
        <v>39</v>
      </c>
      <c r="U536" s="2" t="s">
        <v>40</v>
      </c>
      <c r="V536" s="3"/>
    </row>
    <row r="537" spans="1:22">
      <c r="A537" s="2">
        <v>536</v>
      </c>
      <c r="B537" s="3" t="s">
        <v>5079</v>
      </c>
      <c r="C537" s="3" t="s">
        <v>5398</v>
      </c>
      <c r="D537" s="3" t="s">
        <v>5399</v>
      </c>
      <c r="E537" s="2" t="s">
        <v>257</v>
      </c>
      <c r="F537" s="2" t="s">
        <v>26</v>
      </c>
      <c r="G537" s="3" t="s">
        <v>5400</v>
      </c>
      <c r="H537" s="2" t="s">
        <v>5401</v>
      </c>
      <c r="I537" s="3" t="s">
        <v>29</v>
      </c>
      <c r="J537" s="3" t="s">
        <v>5064</v>
      </c>
      <c r="K537" s="3" t="s">
        <v>47</v>
      </c>
      <c r="L537" s="3" t="s">
        <v>323</v>
      </c>
      <c r="M537" s="3" t="s">
        <v>5065</v>
      </c>
      <c r="N537" s="3" t="s">
        <v>5402</v>
      </c>
      <c r="O537" s="3" t="s">
        <v>5403</v>
      </c>
      <c r="P537" s="3" t="s">
        <v>5404</v>
      </c>
      <c r="Q537" s="3" t="s">
        <v>5405</v>
      </c>
      <c r="R537" s="3" t="s">
        <v>5405</v>
      </c>
      <c r="S537" s="2" t="s">
        <v>38</v>
      </c>
      <c r="T537" s="2" t="s">
        <v>39</v>
      </c>
      <c r="U537" s="2" t="s">
        <v>40</v>
      </c>
      <c r="V537" s="3"/>
    </row>
    <row r="538" spans="1:22">
      <c r="A538" s="2">
        <v>537</v>
      </c>
      <c r="B538" s="3" t="s">
        <v>5079</v>
      </c>
      <c r="C538" s="3" t="s">
        <v>5406</v>
      </c>
      <c r="D538" s="3" t="s">
        <v>5407</v>
      </c>
      <c r="E538" s="2" t="s">
        <v>506</v>
      </c>
      <c r="F538" s="2" t="s">
        <v>43</v>
      </c>
      <c r="G538" s="3" t="s">
        <v>5408</v>
      </c>
      <c r="H538" s="2" t="s">
        <v>5409</v>
      </c>
      <c r="I538" s="3" t="s">
        <v>29</v>
      </c>
      <c r="J538" s="3" t="s">
        <v>5410</v>
      </c>
      <c r="K538" s="3" t="s">
        <v>47</v>
      </c>
      <c r="L538" s="3" t="s">
        <v>323</v>
      </c>
      <c r="M538" s="3" t="s">
        <v>5122</v>
      </c>
      <c r="N538" s="3" t="s">
        <v>5151</v>
      </c>
      <c r="O538" s="3" t="s">
        <v>5411</v>
      </c>
      <c r="P538" s="3" t="s">
        <v>5412</v>
      </c>
      <c r="Q538" s="3" t="s">
        <v>5413</v>
      </c>
      <c r="R538" s="3" t="s">
        <v>5413</v>
      </c>
      <c r="S538" s="2" t="s">
        <v>38</v>
      </c>
      <c r="T538" s="2" t="s">
        <v>39</v>
      </c>
      <c r="U538" s="2" t="s">
        <v>40</v>
      </c>
      <c r="V538" s="3"/>
    </row>
    <row r="539" spans="1:22">
      <c r="A539" s="2">
        <v>538</v>
      </c>
      <c r="B539" s="3" t="s">
        <v>5079</v>
      </c>
      <c r="C539" s="3" t="s">
        <v>5414</v>
      </c>
      <c r="D539" s="3" t="s">
        <v>5415</v>
      </c>
      <c r="E539" s="2" t="s">
        <v>69</v>
      </c>
      <c r="F539" s="2" t="s">
        <v>26</v>
      </c>
      <c r="G539" s="3" t="s">
        <v>5416</v>
      </c>
      <c r="H539" s="2" t="s">
        <v>5417</v>
      </c>
      <c r="I539" s="3" t="s">
        <v>29</v>
      </c>
      <c r="J539" s="3" t="s">
        <v>5418</v>
      </c>
      <c r="K539" s="3" t="s">
        <v>272</v>
      </c>
      <c r="L539" s="3" t="s">
        <v>167</v>
      </c>
      <c r="M539" s="3" t="s">
        <v>989</v>
      </c>
      <c r="N539" s="3" t="s">
        <v>5419</v>
      </c>
      <c r="O539" s="3" t="s">
        <v>5420</v>
      </c>
      <c r="P539" s="3" t="s">
        <v>5421</v>
      </c>
      <c r="Q539" s="3" t="s">
        <v>5422</v>
      </c>
      <c r="R539" s="3" t="s">
        <v>5422</v>
      </c>
      <c r="S539" s="2" t="s">
        <v>38</v>
      </c>
      <c r="T539" s="2" t="s">
        <v>39</v>
      </c>
      <c r="U539" s="2" t="s">
        <v>40</v>
      </c>
      <c r="V539" s="3"/>
    </row>
    <row r="540" spans="1:22">
      <c r="A540" s="2">
        <v>539</v>
      </c>
      <c r="B540" s="3" t="s">
        <v>5079</v>
      </c>
      <c r="C540" s="3" t="s">
        <v>5423</v>
      </c>
      <c r="D540" s="3" t="s">
        <v>5424</v>
      </c>
      <c r="E540" s="2" t="s">
        <v>913</v>
      </c>
      <c r="F540" s="2" t="s">
        <v>26</v>
      </c>
      <c r="G540" s="3" t="s">
        <v>5425</v>
      </c>
      <c r="H540" s="2" t="s">
        <v>5426</v>
      </c>
      <c r="I540" s="3" t="s">
        <v>29</v>
      </c>
      <c r="J540" s="3" t="s">
        <v>5427</v>
      </c>
      <c r="K540" s="3" t="s">
        <v>47</v>
      </c>
      <c r="L540" s="3" t="s">
        <v>132</v>
      </c>
      <c r="M540" s="3" t="s">
        <v>5285</v>
      </c>
      <c r="N540" s="3" t="s">
        <v>5428</v>
      </c>
      <c r="O540" s="3" t="s">
        <v>5429</v>
      </c>
      <c r="P540" s="3" t="s">
        <v>5430</v>
      </c>
      <c r="Q540" s="3" t="s">
        <v>5431</v>
      </c>
      <c r="R540" s="3" t="s">
        <v>5431</v>
      </c>
      <c r="S540" s="2" t="s">
        <v>38</v>
      </c>
      <c r="T540" s="2" t="s">
        <v>39</v>
      </c>
      <c r="U540" s="2" t="s">
        <v>40</v>
      </c>
      <c r="V540" s="3"/>
    </row>
    <row r="541" spans="1:22">
      <c r="A541" s="2">
        <v>540</v>
      </c>
      <c r="B541" s="3" t="s">
        <v>5079</v>
      </c>
      <c r="C541" s="3" t="s">
        <v>5432</v>
      </c>
      <c r="D541" s="3" t="s">
        <v>5433</v>
      </c>
      <c r="E541" s="2" t="s">
        <v>81</v>
      </c>
      <c r="F541" s="2" t="s">
        <v>26</v>
      </c>
      <c r="G541" s="3" t="s">
        <v>5434</v>
      </c>
      <c r="H541" s="2" t="s">
        <v>5435</v>
      </c>
      <c r="I541" s="3" t="s">
        <v>29</v>
      </c>
      <c r="J541" s="3" t="s">
        <v>72</v>
      </c>
      <c r="K541" s="3" t="s">
        <v>47</v>
      </c>
      <c r="L541" s="3" t="s">
        <v>167</v>
      </c>
      <c r="M541" s="3" t="s">
        <v>5436</v>
      </c>
      <c r="N541" s="3" t="s">
        <v>5437</v>
      </c>
      <c r="O541" s="3" t="s">
        <v>5438</v>
      </c>
      <c r="P541" s="3" t="s">
        <v>5439</v>
      </c>
      <c r="Q541" s="3" t="s">
        <v>5440</v>
      </c>
      <c r="R541" s="3" t="s">
        <v>5440</v>
      </c>
      <c r="S541" s="2" t="s">
        <v>38</v>
      </c>
      <c r="T541" s="2" t="s">
        <v>39</v>
      </c>
      <c r="U541" s="2" t="s">
        <v>40</v>
      </c>
      <c r="V541" s="3"/>
    </row>
    <row r="542" spans="1:22">
      <c r="A542" s="2">
        <v>541</v>
      </c>
      <c r="B542" s="3" t="s">
        <v>5079</v>
      </c>
      <c r="C542" s="3" t="s">
        <v>5441</v>
      </c>
      <c r="D542" s="3" t="s">
        <v>5442</v>
      </c>
      <c r="E542" s="2" t="s">
        <v>56</v>
      </c>
      <c r="F542" s="2" t="s">
        <v>26</v>
      </c>
      <c r="G542" s="3" t="s">
        <v>5443</v>
      </c>
      <c r="H542" s="2" t="s">
        <v>5444</v>
      </c>
      <c r="I542" s="3" t="s">
        <v>29</v>
      </c>
      <c r="J542" s="3" t="s">
        <v>5294</v>
      </c>
      <c r="K542" s="3" t="s">
        <v>272</v>
      </c>
      <c r="L542" s="3" t="s">
        <v>167</v>
      </c>
      <c r="M542" s="3" t="s">
        <v>5445</v>
      </c>
      <c r="N542" s="3" t="s">
        <v>5194</v>
      </c>
      <c r="O542" s="3" t="s">
        <v>5446</v>
      </c>
      <c r="P542" s="3" t="s">
        <v>5447</v>
      </c>
      <c r="Q542" s="3" t="s">
        <v>5448</v>
      </c>
      <c r="R542" s="3" t="s">
        <v>5448</v>
      </c>
      <c r="S542" s="2" t="s">
        <v>38</v>
      </c>
      <c r="T542" s="2" t="s">
        <v>39</v>
      </c>
      <c r="U542" s="2" t="s">
        <v>40</v>
      </c>
      <c r="V542" s="3"/>
    </row>
    <row r="543" spans="1:22">
      <c r="A543" s="2">
        <v>542</v>
      </c>
      <c r="B543" s="3" t="s">
        <v>5079</v>
      </c>
      <c r="C543" s="3" t="s">
        <v>5449</v>
      </c>
      <c r="D543" s="3" t="s">
        <v>5450</v>
      </c>
      <c r="E543" s="2" t="s">
        <v>185</v>
      </c>
      <c r="F543" s="2" t="s">
        <v>26</v>
      </c>
      <c r="G543" s="3" t="s">
        <v>5451</v>
      </c>
      <c r="H543" s="2" t="s">
        <v>5452</v>
      </c>
      <c r="I543" s="3" t="s">
        <v>29</v>
      </c>
      <c r="J543" s="3" t="s">
        <v>5140</v>
      </c>
      <c r="K543" s="3" t="s">
        <v>47</v>
      </c>
      <c r="L543" s="3" t="s">
        <v>61</v>
      </c>
      <c r="M543" s="3" t="s">
        <v>5453</v>
      </c>
      <c r="N543" s="3" t="s">
        <v>3280</v>
      </c>
      <c r="O543" s="3" t="s">
        <v>5454</v>
      </c>
      <c r="P543" s="3" t="s">
        <v>5455</v>
      </c>
      <c r="Q543" s="3" t="s">
        <v>5456</v>
      </c>
      <c r="R543" s="3" t="s">
        <v>5456</v>
      </c>
      <c r="S543" s="2" t="s">
        <v>38</v>
      </c>
      <c r="T543" s="2" t="s">
        <v>39</v>
      </c>
      <c r="U543" s="2" t="s">
        <v>40</v>
      </c>
      <c r="V543" s="3"/>
    </row>
    <row r="544" spans="1:22">
      <c r="A544" s="2">
        <v>543</v>
      </c>
      <c r="B544" s="3" t="s">
        <v>5079</v>
      </c>
      <c r="C544" s="3" t="s">
        <v>5457</v>
      </c>
      <c r="D544" s="3" t="s">
        <v>5458</v>
      </c>
      <c r="E544" s="2" t="s">
        <v>185</v>
      </c>
      <c r="F544" s="2" t="s">
        <v>26</v>
      </c>
      <c r="G544" s="3" t="s">
        <v>5459</v>
      </c>
      <c r="H544" s="2" t="s">
        <v>5460</v>
      </c>
      <c r="I544" s="3" t="s">
        <v>29</v>
      </c>
      <c r="J544" s="3" t="s">
        <v>5121</v>
      </c>
      <c r="K544" s="3" t="s">
        <v>47</v>
      </c>
      <c r="L544" s="3" t="s">
        <v>73</v>
      </c>
      <c r="M544" s="3" t="s">
        <v>5461</v>
      </c>
      <c r="N544" s="3" t="s">
        <v>837</v>
      </c>
      <c r="O544" s="3" t="s">
        <v>5462</v>
      </c>
      <c r="P544" s="3" t="s">
        <v>5463</v>
      </c>
      <c r="Q544" s="3" t="s">
        <v>5464</v>
      </c>
      <c r="R544" s="3" t="s">
        <v>5464</v>
      </c>
      <c r="S544" s="2" t="s">
        <v>38</v>
      </c>
      <c r="T544" s="2" t="s">
        <v>39</v>
      </c>
      <c r="U544" s="2" t="s">
        <v>40</v>
      </c>
      <c r="V544" s="3"/>
    </row>
    <row r="545" spans="1:22">
      <c r="A545" s="2">
        <v>544</v>
      </c>
      <c r="B545" s="3" t="s">
        <v>5079</v>
      </c>
      <c r="C545" s="3" t="s">
        <v>5465</v>
      </c>
      <c r="D545" s="3" t="s">
        <v>5466</v>
      </c>
      <c r="E545" s="2" t="s">
        <v>913</v>
      </c>
      <c r="F545" s="2" t="s">
        <v>26</v>
      </c>
      <c r="G545" s="3" t="s">
        <v>5467</v>
      </c>
      <c r="H545" s="2" t="s">
        <v>5468</v>
      </c>
      <c r="I545" s="3" t="s">
        <v>29</v>
      </c>
      <c r="J545" s="3" t="s">
        <v>5469</v>
      </c>
      <c r="K545" s="3" t="s">
        <v>365</v>
      </c>
      <c r="L545" s="3" t="s">
        <v>73</v>
      </c>
      <c r="M545" s="3" t="s">
        <v>5230</v>
      </c>
      <c r="N545" s="3" t="s">
        <v>5113</v>
      </c>
      <c r="O545" s="3" t="s">
        <v>5470</v>
      </c>
      <c r="P545" s="3" t="s">
        <v>5471</v>
      </c>
      <c r="Q545" s="3" t="s">
        <v>5472</v>
      </c>
      <c r="R545" s="3" t="s">
        <v>5472</v>
      </c>
      <c r="S545" s="2" t="s">
        <v>38</v>
      </c>
      <c r="T545" s="2" t="s">
        <v>39</v>
      </c>
      <c r="U545" s="2" t="s">
        <v>40</v>
      </c>
      <c r="V545" s="3"/>
    </row>
    <row r="546" spans="1:22">
      <c r="A546" s="2">
        <v>545</v>
      </c>
      <c r="B546" s="3" t="s">
        <v>5079</v>
      </c>
      <c r="C546" s="3" t="s">
        <v>5473</v>
      </c>
      <c r="D546" s="3" t="s">
        <v>5474</v>
      </c>
      <c r="E546" s="2" t="s">
        <v>103</v>
      </c>
      <c r="F546" s="2" t="s">
        <v>26</v>
      </c>
      <c r="G546" s="3" t="s">
        <v>5475</v>
      </c>
      <c r="H546" s="2" t="s">
        <v>5476</v>
      </c>
      <c r="I546" s="3" t="s">
        <v>29</v>
      </c>
      <c r="J546" s="3" t="s">
        <v>5159</v>
      </c>
      <c r="K546" s="3" t="s">
        <v>47</v>
      </c>
      <c r="L546" s="3" t="s">
        <v>167</v>
      </c>
      <c r="M546" s="3" t="s">
        <v>5477</v>
      </c>
      <c r="N546" s="3" t="s">
        <v>5385</v>
      </c>
      <c r="O546" s="3" t="s">
        <v>5478</v>
      </c>
      <c r="P546" s="3" t="s">
        <v>5479</v>
      </c>
      <c r="Q546" s="3" t="s">
        <v>5480</v>
      </c>
      <c r="R546" s="3" t="s">
        <v>5480</v>
      </c>
      <c r="S546" s="2" t="s">
        <v>38</v>
      </c>
      <c r="T546" s="2" t="s">
        <v>39</v>
      </c>
      <c r="U546" s="2" t="s">
        <v>40</v>
      </c>
      <c r="V546" s="3"/>
    </row>
    <row r="547" spans="1:22">
      <c r="A547" s="2">
        <v>546</v>
      </c>
      <c r="B547" s="3" t="s">
        <v>5079</v>
      </c>
      <c r="C547" s="3" t="s">
        <v>5481</v>
      </c>
      <c r="D547" s="3" t="s">
        <v>5482</v>
      </c>
      <c r="E547" s="2" t="s">
        <v>206</v>
      </c>
      <c r="F547" s="2" t="s">
        <v>26</v>
      </c>
      <c r="G547" s="3" t="s">
        <v>5483</v>
      </c>
      <c r="H547" s="2" t="s">
        <v>5484</v>
      </c>
      <c r="I547" s="3" t="s">
        <v>29</v>
      </c>
      <c r="J547" s="3" t="s">
        <v>5140</v>
      </c>
      <c r="K547" s="3" t="s">
        <v>47</v>
      </c>
      <c r="L547" s="3" t="s">
        <v>167</v>
      </c>
      <c r="M547" s="3" t="s">
        <v>5485</v>
      </c>
      <c r="N547" s="3" t="s">
        <v>5212</v>
      </c>
      <c r="O547" s="3" t="s">
        <v>5486</v>
      </c>
      <c r="P547" s="3" t="s">
        <v>5487</v>
      </c>
      <c r="Q547" s="3" t="s">
        <v>5488</v>
      </c>
      <c r="R547" s="3" t="s">
        <v>5488</v>
      </c>
      <c r="S547" s="2" t="s">
        <v>38</v>
      </c>
      <c r="T547" s="2" t="s">
        <v>39</v>
      </c>
      <c r="U547" s="2" t="s">
        <v>40</v>
      </c>
      <c r="V547" s="3"/>
    </row>
    <row r="548" spans="1:22">
      <c r="A548" s="2">
        <v>547</v>
      </c>
      <c r="B548" s="3" t="s">
        <v>5079</v>
      </c>
      <c r="C548" s="3" t="s">
        <v>5489</v>
      </c>
      <c r="D548" s="3" t="s">
        <v>5490</v>
      </c>
      <c r="E548" s="2" t="s">
        <v>1017</v>
      </c>
      <c r="F548" s="2" t="s">
        <v>43</v>
      </c>
      <c r="G548" s="3" t="s">
        <v>5491</v>
      </c>
      <c r="H548" s="2" t="s">
        <v>5492</v>
      </c>
      <c r="I548" s="3" t="s">
        <v>29</v>
      </c>
      <c r="J548" s="3" t="s">
        <v>5493</v>
      </c>
      <c r="K548" s="3" t="s">
        <v>47</v>
      </c>
      <c r="L548" s="3" t="s">
        <v>293</v>
      </c>
      <c r="M548" s="3" t="s">
        <v>5494</v>
      </c>
      <c r="N548" s="3" t="s">
        <v>5495</v>
      </c>
      <c r="O548" s="3" t="s">
        <v>5496</v>
      </c>
      <c r="P548" s="3" t="s">
        <v>5497</v>
      </c>
      <c r="Q548" s="3" t="s">
        <v>5498</v>
      </c>
      <c r="R548" s="3" t="s">
        <v>5498</v>
      </c>
      <c r="S548" s="2" t="s">
        <v>38</v>
      </c>
      <c r="T548" s="2" t="s">
        <v>39</v>
      </c>
      <c r="U548" s="2" t="s">
        <v>40</v>
      </c>
      <c r="V548" s="3"/>
    </row>
    <row r="549" spans="1:22">
      <c r="A549" s="2">
        <v>548</v>
      </c>
      <c r="B549" s="3" t="s">
        <v>5079</v>
      </c>
      <c r="C549" s="3" t="s">
        <v>5499</v>
      </c>
      <c r="D549" s="3" t="s">
        <v>5500</v>
      </c>
      <c r="E549" s="2" t="s">
        <v>103</v>
      </c>
      <c r="F549" s="2" t="s">
        <v>26</v>
      </c>
      <c r="G549" s="3" t="s">
        <v>5501</v>
      </c>
      <c r="H549" s="2" t="s">
        <v>5502</v>
      </c>
      <c r="I549" s="3" t="s">
        <v>29</v>
      </c>
      <c r="J549" s="3" t="s">
        <v>5229</v>
      </c>
      <c r="K549" s="3" t="s">
        <v>47</v>
      </c>
      <c r="L549" s="3" t="s">
        <v>167</v>
      </c>
      <c r="M549" s="3" t="s">
        <v>5503</v>
      </c>
      <c r="N549" s="3" t="s">
        <v>5194</v>
      </c>
      <c r="O549" s="3" t="s">
        <v>5504</v>
      </c>
      <c r="P549" s="3" t="s">
        <v>5505</v>
      </c>
      <c r="Q549" s="3" t="s">
        <v>5506</v>
      </c>
      <c r="R549" s="3" t="s">
        <v>5506</v>
      </c>
      <c r="S549" s="2" t="s">
        <v>38</v>
      </c>
      <c r="T549" s="2" t="s">
        <v>39</v>
      </c>
      <c r="U549" s="2" t="s">
        <v>40</v>
      </c>
      <c r="V549" s="3"/>
    </row>
    <row r="550" spans="1:22">
      <c r="A550" s="2">
        <v>549</v>
      </c>
      <c r="B550" s="3" t="s">
        <v>5079</v>
      </c>
      <c r="C550" s="3" t="s">
        <v>5507</v>
      </c>
      <c r="D550" s="3" t="s">
        <v>5508</v>
      </c>
      <c r="E550" s="2" t="s">
        <v>206</v>
      </c>
      <c r="F550" s="2" t="s">
        <v>26</v>
      </c>
      <c r="G550" s="3" t="s">
        <v>5509</v>
      </c>
      <c r="H550" s="2" t="s">
        <v>5510</v>
      </c>
      <c r="I550" s="3" t="s">
        <v>29</v>
      </c>
      <c r="J550" s="3" t="s">
        <v>5140</v>
      </c>
      <c r="K550" s="3" t="s">
        <v>47</v>
      </c>
      <c r="L550" s="3" t="s">
        <v>323</v>
      </c>
      <c r="M550" s="3" t="s">
        <v>5313</v>
      </c>
      <c r="N550" s="3" t="s">
        <v>3280</v>
      </c>
      <c r="O550" s="3" t="s">
        <v>5511</v>
      </c>
      <c r="P550" s="3" t="s">
        <v>5512</v>
      </c>
      <c r="Q550" s="3" t="s">
        <v>5513</v>
      </c>
      <c r="R550" s="3" t="s">
        <v>5513</v>
      </c>
      <c r="S550" s="2" t="s">
        <v>38</v>
      </c>
      <c r="T550" s="2" t="s">
        <v>39</v>
      </c>
      <c r="U550" s="2" t="s">
        <v>40</v>
      </c>
      <c r="V550" s="3"/>
    </row>
    <row r="551" spans="1:22">
      <c r="A551" s="2">
        <v>550</v>
      </c>
      <c r="B551" s="3" t="s">
        <v>5079</v>
      </c>
      <c r="C551" s="3" t="s">
        <v>5514</v>
      </c>
      <c r="D551" s="3" t="s">
        <v>5515</v>
      </c>
      <c r="E551" s="2" t="s">
        <v>913</v>
      </c>
      <c r="F551" s="2" t="s">
        <v>26</v>
      </c>
      <c r="G551" s="3" t="s">
        <v>5516</v>
      </c>
      <c r="H551" s="2" t="s">
        <v>5517</v>
      </c>
      <c r="I551" s="3" t="s">
        <v>29</v>
      </c>
      <c r="J551" s="3" t="s">
        <v>5140</v>
      </c>
      <c r="K551" s="3" t="s">
        <v>272</v>
      </c>
      <c r="L551" s="3" t="s">
        <v>167</v>
      </c>
      <c r="M551" s="3" t="s">
        <v>5313</v>
      </c>
      <c r="N551" s="3" t="s">
        <v>3280</v>
      </c>
      <c r="O551" s="3" t="s">
        <v>5518</v>
      </c>
      <c r="P551" s="3" t="s">
        <v>5519</v>
      </c>
      <c r="Q551" s="3" t="s">
        <v>5520</v>
      </c>
      <c r="R551" s="3" t="s">
        <v>5520</v>
      </c>
      <c r="S551" s="2" t="s">
        <v>38</v>
      </c>
      <c r="T551" s="2" t="s">
        <v>39</v>
      </c>
      <c r="U551" s="2" t="s">
        <v>40</v>
      </c>
      <c r="V551" s="3"/>
    </row>
    <row r="552" spans="1:22">
      <c r="A552" s="2">
        <v>551</v>
      </c>
      <c r="B552" s="3" t="s">
        <v>5521</v>
      </c>
      <c r="C552" s="3" t="s">
        <v>5522</v>
      </c>
      <c r="D552" s="3" t="s">
        <v>5523</v>
      </c>
      <c r="E552" s="2" t="s">
        <v>913</v>
      </c>
      <c r="F552" s="2" t="s">
        <v>26</v>
      </c>
      <c r="G552" s="3" t="s">
        <v>5524</v>
      </c>
      <c r="H552" s="2" t="s">
        <v>5525</v>
      </c>
      <c r="I552" s="3" t="s">
        <v>29</v>
      </c>
      <c r="J552" s="3" t="s">
        <v>5054</v>
      </c>
      <c r="K552" s="3" t="s">
        <v>47</v>
      </c>
      <c r="L552" s="3" t="s">
        <v>132</v>
      </c>
      <c r="M552" s="3" t="s">
        <v>5055</v>
      </c>
      <c r="N552" s="3" t="s">
        <v>5194</v>
      </c>
      <c r="O552" s="3" t="s">
        <v>5526</v>
      </c>
      <c r="P552" s="3" t="s">
        <v>5527</v>
      </c>
      <c r="Q552" s="3" t="s">
        <v>5528</v>
      </c>
      <c r="R552" s="3" t="s">
        <v>5528</v>
      </c>
      <c r="S552" s="2" t="s">
        <v>38</v>
      </c>
      <c r="T552" s="2" t="s">
        <v>39</v>
      </c>
      <c r="U552" s="2" t="s">
        <v>40</v>
      </c>
      <c r="V552" s="3"/>
    </row>
    <row r="553" spans="1:22">
      <c r="A553" s="2">
        <v>552</v>
      </c>
      <c r="B553" s="3" t="s">
        <v>5521</v>
      </c>
      <c r="C553" s="3" t="s">
        <v>5529</v>
      </c>
      <c r="D553" s="3" t="s">
        <v>5530</v>
      </c>
      <c r="E553" s="2" t="s">
        <v>913</v>
      </c>
      <c r="F553" s="2" t="s">
        <v>26</v>
      </c>
      <c r="G553" s="3" t="s">
        <v>5531</v>
      </c>
      <c r="H553" s="2" t="s">
        <v>5532</v>
      </c>
      <c r="I553" s="3" t="s">
        <v>29</v>
      </c>
      <c r="J553" s="3" t="s">
        <v>131</v>
      </c>
      <c r="K553" s="3" t="s">
        <v>47</v>
      </c>
      <c r="L553" s="3" t="s">
        <v>132</v>
      </c>
      <c r="M553" s="3" t="s">
        <v>5533</v>
      </c>
      <c r="N553" s="3" t="s">
        <v>5428</v>
      </c>
      <c r="O553" s="3" t="s">
        <v>5534</v>
      </c>
      <c r="P553" s="3" t="s">
        <v>5535</v>
      </c>
      <c r="Q553" s="3" t="s">
        <v>5536</v>
      </c>
      <c r="R553" s="3" t="s">
        <v>5536</v>
      </c>
      <c r="S553" s="2" t="s">
        <v>38</v>
      </c>
      <c r="T553" s="2" t="s">
        <v>39</v>
      </c>
      <c r="U553" s="2" t="s">
        <v>40</v>
      </c>
      <c r="V553" s="3"/>
    </row>
    <row r="554" spans="1:22">
      <c r="A554" s="2">
        <v>553</v>
      </c>
      <c r="B554" s="3" t="s">
        <v>5521</v>
      </c>
      <c r="C554" s="3" t="s">
        <v>5537</v>
      </c>
      <c r="D554" s="3" t="s">
        <v>5538</v>
      </c>
      <c r="E554" s="2" t="s">
        <v>913</v>
      </c>
      <c r="F554" s="2" t="s">
        <v>26</v>
      </c>
      <c r="G554" s="3" t="s">
        <v>5539</v>
      </c>
      <c r="H554" s="2" t="s">
        <v>5540</v>
      </c>
      <c r="I554" s="3" t="s">
        <v>29</v>
      </c>
      <c r="J554" s="3" t="s">
        <v>5294</v>
      </c>
      <c r="K554" s="3" t="s">
        <v>272</v>
      </c>
      <c r="L554" s="3" t="s">
        <v>132</v>
      </c>
      <c r="M554" s="3" t="s">
        <v>5294</v>
      </c>
      <c r="N554" s="3" t="s">
        <v>5541</v>
      </c>
      <c r="O554" s="3" t="s">
        <v>5542</v>
      </c>
      <c r="P554" s="3" t="s">
        <v>5543</v>
      </c>
      <c r="Q554" s="3" t="s">
        <v>5544</v>
      </c>
      <c r="R554" s="3" t="s">
        <v>5544</v>
      </c>
      <c r="S554" s="2" t="s">
        <v>38</v>
      </c>
      <c r="T554" s="2" t="s">
        <v>39</v>
      </c>
      <c r="U554" s="2" t="s">
        <v>40</v>
      </c>
      <c r="V554" s="3"/>
    </row>
    <row r="555" spans="1:22">
      <c r="A555" s="2">
        <v>554</v>
      </c>
      <c r="B555" s="3" t="s">
        <v>5521</v>
      </c>
      <c r="C555" s="3" t="s">
        <v>5545</v>
      </c>
      <c r="D555" s="3" t="s">
        <v>5546</v>
      </c>
      <c r="E555" s="2" t="s">
        <v>913</v>
      </c>
      <c r="F555" s="2" t="s">
        <v>26</v>
      </c>
      <c r="G555" s="3" t="s">
        <v>5547</v>
      </c>
      <c r="H555" s="2" t="s">
        <v>5548</v>
      </c>
      <c r="I555" s="3" t="s">
        <v>29</v>
      </c>
      <c r="J555" s="3" t="s">
        <v>5121</v>
      </c>
      <c r="K555" s="3" t="s">
        <v>47</v>
      </c>
      <c r="L555" s="3" t="s">
        <v>167</v>
      </c>
      <c r="M555" s="3" t="s">
        <v>5376</v>
      </c>
      <c r="N555" s="3" t="s">
        <v>837</v>
      </c>
      <c r="O555" s="3" t="s">
        <v>5549</v>
      </c>
      <c r="P555" s="3" t="s">
        <v>5550</v>
      </c>
      <c r="Q555" s="3" t="s">
        <v>5551</v>
      </c>
      <c r="R555" s="3" t="s">
        <v>5551</v>
      </c>
      <c r="S555" s="2" t="s">
        <v>38</v>
      </c>
      <c r="T555" s="2" t="s">
        <v>39</v>
      </c>
      <c r="U555" s="2" t="s">
        <v>40</v>
      </c>
      <c r="V555" s="3"/>
    </row>
    <row r="556" spans="1:22">
      <c r="A556" s="2">
        <v>555</v>
      </c>
      <c r="B556" s="3" t="s">
        <v>5521</v>
      </c>
      <c r="C556" s="3" t="s">
        <v>5552</v>
      </c>
      <c r="D556" s="3" t="s">
        <v>5553</v>
      </c>
      <c r="E556" s="2" t="s">
        <v>913</v>
      </c>
      <c r="F556" s="2" t="s">
        <v>26</v>
      </c>
      <c r="G556" s="3" t="s">
        <v>5554</v>
      </c>
      <c r="H556" s="2" t="s">
        <v>5555</v>
      </c>
      <c r="I556" s="3" t="s">
        <v>29</v>
      </c>
      <c r="J556" s="3" t="s">
        <v>5284</v>
      </c>
      <c r="K556" s="3" t="s">
        <v>47</v>
      </c>
      <c r="L556" s="3" t="s">
        <v>167</v>
      </c>
      <c r="M556" s="3" t="s">
        <v>5556</v>
      </c>
      <c r="N556" s="3" t="s">
        <v>5557</v>
      </c>
      <c r="O556" s="3" t="s">
        <v>5558</v>
      </c>
      <c r="P556" s="3" t="s">
        <v>5559</v>
      </c>
      <c r="Q556" s="3" t="s">
        <v>5560</v>
      </c>
      <c r="R556" s="3" t="s">
        <v>5560</v>
      </c>
      <c r="S556" s="2" t="s">
        <v>38</v>
      </c>
      <c r="T556" s="2" t="s">
        <v>39</v>
      </c>
      <c r="U556" s="2" t="s">
        <v>40</v>
      </c>
      <c r="V556" s="3"/>
    </row>
    <row r="557" spans="1:22">
      <c r="A557" s="2">
        <v>556</v>
      </c>
      <c r="B557" s="3" t="s">
        <v>5521</v>
      </c>
      <c r="C557" s="3" t="s">
        <v>5561</v>
      </c>
      <c r="D557" s="3" t="s">
        <v>5562</v>
      </c>
      <c r="E557" s="2" t="s">
        <v>913</v>
      </c>
      <c r="F557" s="2" t="s">
        <v>43</v>
      </c>
      <c r="G557" s="3" t="s">
        <v>5563</v>
      </c>
      <c r="H557" s="2" t="s">
        <v>5564</v>
      </c>
      <c r="I557" s="3" t="s">
        <v>29</v>
      </c>
      <c r="J557" s="3" t="s">
        <v>5094</v>
      </c>
      <c r="K557" s="3" t="s">
        <v>95</v>
      </c>
      <c r="L557" s="3" t="s">
        <v>293</v>
      </c>
      <c r="M557" s="3" t="s">
        <v>5565</v>
      </c>
      <c r="N557" s="3" t="s">
        <v>5566</v>
      </c>
      <c r="O557" s="3" t="s">
        <v>5567</v>
      </c>
      <c r="P557" s="3" t="s">
        <v>5568</v>
      </c>
      <c r="Q557" s="3" t="s">
        <v>5569</v>
      </c>
      <c r="R557" s="3" t="s">
        <v>5569</v>
      </c>
      <c r="S557" s="2" t="s">
        <v>38</v>
      </c>
      <c r="T557" s="2" t="s">
        <v>39</v>
      </c>
      <c r="U557" s="2" t="s">
        <v>40</v>
      </c>
      <c r="V557" s="3"/>
    </row>
    <row r="558" spans="1:22">
      <c r="A558" s="2">
        <v>557</v>
      </c>
      <c r="B558" s="3" t="s">
        <v>5521</v>
      </c>
      <c r="C558" s="3" t="s">
        <v>5570</v>
      </c>
      <c r="D558" s="3" t="s">
        <v>5571</v>
      </c>
      <c r="E558" s="2" t="s">
        <v>913</v>
      </c>
      <c r="F558" s="2" t="s">
        <v>26</v>
      </c>
      <c r="G558" s="3" t="s">
        <v>5572</v>
      </c>
      <c r="H558" s="2" t="s">
        <v>5573</v>
      </c>
      <c r="I558" s="3" t="s">
        <v>29</v>
      </c>
      <c r="J558" s="3" t="s">
        <v>5159</v>
      </c>
      <c r="K558" s="3" t="s">
        <v>47</v>
      </c>
      <c r="L558" s="3" t="s">
        <v>167</v>
      </c>
      <c r="M558" s="3" t="s">
        <v>448</v>
      </c>
      <c r="N558" s="3" t="s">
        <v>5574</v>
      </c>
      <c r="O558" s="3" t="s">
        <v>5575</v>
      </c>
      <c r="P558" s="3" t="s">
        <v>5576</v>
      </c>
      <c r="Q558" s="3" t="s">
        <v>5577</v>
      </c>
      <c r="R558" s="3" t="s">
        <v>5577</v>
      </c>
      <c r="S558" s="2" t="s">
        <v>38</v>
      </c>
      <c r="T558" s="2" t="s">
        <v>39</v>
      </c>
      <c r="U558" s="2" t="s">
        <v>40</v>
      </c>
      <c r="V558" s="3"/>
    </row>
    <row r="559" spans="1:22">
      <c r="A559" s="2">
        <v>558</v>
      </c>
      <c r="B559" s="3" t="s">
        <v>5521</v>
      </c>
      <c r="C559" s="3" t="s">
        <v>5578</v>
      </c>
      <c r="D559" s="3" t="s">
        <v>5579</v>
      </c>
      <c r="E559" s="2" t="s">
        <v>913</v>
      </c>
      <c r="F559" s="2" t="s">
        <v>26</v>
      </c>
      <c r="G559" s="3" t="s">
        <v>5580</v>
      </c>
      <c r="H559" s="2" t="s">
        <v>5581</v>
      </c>
      <c r="I559" s="3" t="s">
        <v>29</v>
      </c>
      <c r="J559" s="3" t="s">
        <v>5111</v>
      </c>
      <c r="K559" s="3" t="s">
        <v>47</v>
      </c>
      <c r="L559" s="3" t="s">
        <v>167</v>
      </c>
      <c r="M559" s="3" t="s">
        <v>5582</v>
      </c>
      <c r="N559" s="3" t="s">
        <v>5583</v>
      </c>
      <c r="O559" s="3" t="s">
        <v>5584</v>
      </c>
      <c r="P559" s="3" t="s">
        <v>5585</v>
      </c>
      <c r="Q559" s="3" t="s">
        <v>5586</v>
      </c>
      <c r="R559" s="3" t="s">
        <v>5586</v>
      </c>
      <c r="S559" s="2" t="s">
        <v>38</v>
      </c>
      <c r="T559" s="2" t="s">
        <v>39</v>
      </c>
      <c r="U559" s="2" t="s">
        <v>40</v>
      </c>
      <c r="V559" s="3"/>
    </row>
    <row r="560" spans="1:22">
      <c r="A560" s="2">
        <v>559</v>
      </c>
      <c r="B560" s="3" t="s">
        <v>5521</v>
      </c>
      <c r="C560" s="3" t="s">
        <v>5587</v>
      </c>
      <c r="D560" s="3" t="s">
        <v>5588</v>
      </c>
      <c r="E560" s="2" t="s">
        <v>913</v>
      </c>
      <c r="F560" s="2" t="s">
        <v>26</v>
      </c>
      <c r="G560" s="3" t="s">
        <v>5589</v>
      </c>
      <c r="H560" s="2" t="s">
        <v>5590</v>
      </c>
      <c r="I560" s="3" t="s">
        <v>29</v>
      </c>
      <c r="J560" s="3" t="s">
        <v>5284</v>
      </c>
      <c r="K560" s="3" t="s">
        <v>47</v>
      </c>
      <c r="L560" s="3" t="s">
        <v>167</v>
      </c>
      <c r="M560" s="3" t="s">
        <v>5085</v>
      </c>
      <c r="N560" s="3" t="s">
        <v>5591</v>
      </c>
      <c r="O560" s="3" t="s">
        <v>5592</v>
      </c>
      <c r="P560" s="3" t="s">
        <v>5593</v>
      </c>
      <c r="Q560" s="3" t="s">
        <v>5594</v>
      </c>
      <c r="R560" s="3" t="s">
        <v>5594</v>
      </c>
      <c r="S560" s="2" t="s">
        <v>38</v>
      </c>
      <c r="T560" s="2" t="s">
        <v>39</v>
      </c>
      <c r="U560" s="2" t="s">
        <v>40</v>
      </c>
      <c r="V560" s="3"/>
    </row>
    <row r="561" spans="1:22">
      <c r="A561" s="2">
        <v>560</v>
      </c>
      <c r="B561" s="3" t="s">
        <v>5521</v>
      </c>
      <c r="C561" s="3" t="s">
        <v>5595</v>
      </c>
      <c r="D561" s="3" t="s">
        <v>5596</v>
      </c>
      <c r="E561" s="2" t="s">
        <v>913</v>
      </c>
      <c r="F561" s="2" t="s">
        <v>26</v>
      </c>
      <c r="G561" s="3" t="s">
        <v>5597</v>
      </c>
      <c r="H561" s="2" t="s">
        <v>5598</v>
      </c>
      <c r="I561" s="3" t="s">
        <v>29</v>
      </c>
      <c r="J561" s="3" t="s">
        <v>5599</v>
      </c>
      <c r="K561" s="3" t="s">
        <v>47</v>
      </c>
      <c r="L561" s="3" t="s">
        <v>73</v>
      </c>
      <c r="M561" s="3" t="s">
        <v>108</v>
      </c>
      <c r="N561" s="3" t="s">
        <v>5600</v>
      </c>
      <c r="O561" s="3" t="s">
        <v>5601</v>
      </c>
      <c r="P561" s="3" t="s">
        <v>5602</v>
      </c>
      <c r="Q561" s="3" t="s">
        <v>5603</v>
      </c>
      <c r="R561" s="3" t="s">
        <v>5603</v>
      </c>
      <c r="S561" s="2" t="s">
        <v>38</v>
      </c>
      <c r="T561" s="2" t="s">
        <v>39</v>
      </c>
      <c r="U561" s="2" t="s">
        <v>40</v>
      </c>
      <c r="V561" s="3"/>
    </row>
    <row r="562" spans="1:22">
      <c r="A562" s="2">
        <v>561</v>
      </c>
      <c r="B562" s="3" t="s">
        <v>5521</v>
      </c>
      <c r="C562" s="3" t="s">
        <v>5604</v>
      </c>
      <c r="D562" s="3" t="s">
        <v>5605</v>
      </c>
      <c r="E562" s="2" t="s">
        <v>913</v>
      </c>
      <c r="F562" s="2" t="s">
        <v>26</v>
      </c>
      <c r="G562" s="3" t="s">
        <v>5606</v>
      </c>
      <c r="H562" s="2" t="s">
        <v>5607</v>
      </c>
      <c r="I562" s="3" t="s">
        <v>29</v>
      </c>
      <c r="J562" s="3" t="s">
        <v>5322</v>
      </c>
      <c r="K562" s="3" t="s">
        <v>47</v>
      </c>
      <c r="L562" s="3" t="s">
        <v>167</v>
      </c>
      <c r="M562" s="3" t="s">
        <v>448</v>
      </c>
      <c r="N562" s="3" t="s">
        <v>5608</v>
      </c>
      <c r="O562" s="3" t="s">
        <v>5609</v>
      </c>
      <c r="P562" s="3" t="s">
        <v>5610</v>
      </c>
      <c r="Q562" s="3" t="s">
        <v>5611</v>
      </c>
      <c r="R562" s="3" t="s">
        <v>5611</v>
      </c>
      <c r="S562" s="2" t="s">
        <v>38</v>
      </c>
      <c r="T562" s="2" t="s">
        <v>39</v>
      </c>
      <c r="U562" s="2" t="s">
        <v>40</v>
      </c>
      <c r="V562" s="3"/>
    </row>
    <row r="563" spans="1:22">
      <c r="A563" s="2">
        <v>562</v>
      </c>
      <c r="B563" s="3" t="s">
        <v>5521</v>
      </c>
      <c r="C563" s="3" t="s">
        <v>5612</v>
      </c>
      <c r="D563" s="3" t="s">
        <v>5613</v>
      </c>
      <c r="E563" s="2" t="s">
        <v>913</v>
      </c>
      <c r="F563" s="2" t="s">
        <v>43</v>
      </c>
      <c r="G563" s="3" t="s">
        <v>5614</v>
      </c>
      <c r="H563" s="2" t="s">
        <v>5615</v>
      </c>
      <c r="I563" s="3" t="s">
        <v>29</v>
      </c>
      <c r="J563" s="3" t="s">
        <v>5140</v>
      </c>
      <c r="K563" s="3" t="s">
        <v>95</v>
      </c>
      <c r="L563" s="3" t="s">
        <v>323</v>
      </c>
      <c r="M563" s="3" t="s">
        <v>5616</v>
      </c>
      <c r="N563" s="3" t="s">
        <v>3280</v>
      </c>
      <c r="O563" s="3" t="s">
        <v>5617</v>
      </c>
      <c r="P563" s="3" t="s">
        <v>5618</v>
      </c>
      <c r="Q563" s="3" t="s">
        <v>5619</v>
      </c>
      <c r="R563" s="3" t="s">
        <v>5619</v>
      </c>
      <c r="S563" s="2" t="s">
        <v>38</v>
      </c>
      <c r="T563" s="2" t="s">
        <v>39</v>
      </c>
      <c r="U563" s="2" t="s">
        <v>40</v>
      </c>
      <c r="V563" s="3"/>
    </row>
    <row r="564" spans="1:22">
      <c r="A564" s="2">
        <v>563</v>
      </c>
      <c r="B564" s="3" t="s">
        <v>5521</v>
      </c>
      <c r="C564" s="3" t="s">
        <v>5620</v>
      </c>
      <c r="D564" s="3" t="s">
        <v>5621</v>
      </c>
      <c r="E564" s="2" t="s">
        <v>913</v>
      </c>
      <c r="F564" s="2" t="s">
        <v>26</v>
      </c>
      <c r="G564" s="3" t="s">
        <v>5622</v>
      </c>
      <c r="H564" s="2" t="s">
        <v>5623</v>
      </c>
      <c r="I564" s="3" t="s">
        <v>29</v>
      </c>
      <c r="J564" s="3" t="s">
        <v>5121</v>
      </c>
      <c r="K564" s="3" t="s">
        <v>47</v>
      </c>
      <c r="L564" s="3" t="s">
        <v>167</v>
      </c>
      <c r="M564" s="3" t="s">
        <v>5624</v>
      </c>
      <c r="N564" s="3" t="s">
        <v>5212</v>
      </c>
      <c r="O564" s="3" t="s">
        <v>5625</v>
      </c>
      <c r="P564" s="3" t="s">
        <v>5626</v>
      </c>
      <c r="Q564" s="3" t="s">
        <v>5627</v>
      </c>
      <c r="R564" s="3" t="s">
        <v>5627</v>
      </c>
      <c r="S564" s="2" t="s">
        <v>38</v>
      </c>
      <c r="T564" s="2" t="s">
        <v>39</v>
      </c>
      <c r="U564" s="2" t="s">
        <v>40</v>
      </c>
      <c r="V564" s="3"/>
    </row>
    <row r="565" spans="1:22">
      <c r="A565" s="2">
        <v>564</v>
      </c>
      <c r="B565" s="3" t="s">
        <v>5521</v>
      </c>
      <c r="C565" s="3" t="s">
        <v>5628</v>
      </c>
      <c r="D565" s="3" t="s">
        <v>5629</v>
      </c>
      <c r="E565" s="2" t="s">
        <v>913</v>
      </c>
      <c r="F565" s="2" t="s">
        <v>43</v>
      </c>
      <c r="G565" s="3" t="s">
        <v>5630</v>
      </c>
      <c r="H565" s="2" t="s">
        <v>5631</v>
      </c>
      <c r="I565" s="3" t="s">
        <v>29</v>
      </c>
      <c r="J565" s="3" t="s">
        <v>5094</v>
      </c>
      <c r="K565" s="3" t="s">
        <v>47</v>
      </c>
      <c r="L565" s="3" t="s">
        <v>145</v>
      </c>
      <c r="M565" s="3" t="s">
        <v>5632</v>
      </c>
      <c r="N565" s="3" t="s">
        <v>5212</v>
      </c>
      <c r="O565" s="3" t="s">
        <v>5633</v>
      </c>
      <c r="P565" s="3" t="s">
        <v>5634</v>
      </c>
      <c r="Q565" s="3" t="s">
        <v>5635</v>
      </c>
      <c r="R565" s="3" t="s">
        <v>5635</v>
      </c>
      <c r="S565" s="2" t="s">
        <v>38</v>
      </c>
      <c r="T565" s="2" t="s">
        <v>39</v>
      </c>
      <c r="U565" s="2" t="s">
        <v>40</v>
      </c>
      <c r="V565" s="3"/>
    </row>
    <row r="566" spans="1:22">
      <c r="A566" s="2">
        <v>565</v>
      </c>
      <c r="B566" s="3" t="s">
        <v>5521</v>
      </c>
      <c r="C566" s="3" t="s">
        <v>5636</v>
      </c>
      <c r="D566" s="3" t="s">
        <v>5637</v>
      </c>
      <c r="E566" s="2" t="s">
        <v>103</v>
      </c>
      <c r="F566" s="2" t="s">
        <v>43</v>
      </c>
      <c r="G566" s="3" t="s">
        <v>5638</v>
      </c>
      <c r="H566" s="2" t="s">
        <v>5639</v>
      </c>
      <c r="I566" s="3" t="s">
        <v>29</v>
      </c>
      <c r="J566" s="3" t="s">
        <v>5159</v>
      </c>
      <c r="K566" s="3" t="s">
        <v>47</v>
      </c>
      <c r="L566" s="3" t="s">
        <v>167</v>
      </c>
      <c r="M566" s="3" t="s">
        <v>5640</v>
      </c>
      <c r="N566" s="3" t="s">
        <v>5151</v>
      </c>
      <c r="O566" s="3" t="s">
        <v>5641</v>
      </c>
      <c r="P566" s="3" t="s">
        <v>5642</v>
      </c>
      <c r="Q566" s="3" t="s">
        <v>5643</v>
      </c>
      <c r="R566" s="3" t="s">
        <v>5643</v>
      </c>
      <c r="S566" s="2" t="s">
        <v>38</v>
      </c>
      <c r="T566" s="2" t="s">
        <v>39</v>
      </c>
      <c r="U566" s="2" t="s">
        <v>40</v>
      </c>
      <c r="V566" s="3"/>
    </row>
    <row r="567" spans="1:22">
      <c r="A567" s="2">
        <v>566</v>
      </c>
      <c r="B567" s="3" t="s">
        <v>5521</v>
      </c>
      <c r="C567" s="3" t="s">
        <v>5644</v>
      </c>
      <c r="D567" s="3" t="s">
        <v>5645</v>
      </c>
      <c r="E567" s="2" t="s">
        <v>913</v>
      </c>
      <c r="F567" s="2" t="s">
        <v>26</v>
      </c>
      <c r="G567" s="3" t="s">
        <v>5646</v>
      </c>
      <c r="H567" s="2" t="s">
        <v>5647</v>
      </c>
      <c r="I567" s="3" t="s">
        <v>29</v>
      </c>
      <c r="J567" s="3" t="s">
        <v>5150</v>
      </c>
      <c r="K567" s="3" t="s">
        <v>272</v>
      </c>
      <c r="L567" s="3" t="s">
        <v>167</v>
      </c>
      <c r="M567" s="3" t="s">
        <v>5276</v>
      </c>
      <c r="N567" s="3" t="s">
        <v>5648</v>
      </c>
      <c r="O567" s="3" t="s">
        <v>5649</v>
      </c>
      <c r="P567" s="3" t="s">
        <v>5650</v>
      </c>
      <c r="Q567" s="3" t="s">
        <v>5651</v>
      </c>
      <c r="R567" s="3" t="s">
        <v>5651</v>
      </c>
      <c r="S567" s="2" t="s">
        <v>38</v>
      </c>
      <c r="T567" s="2" t="s">
        <v>39</v>
      </c>
      <c r="U567" s="2" t="s">
        <v>40</v>
      </c>
      <c r="V567" s="3"/>
    </row>
    <row r="568" spans="1:22">
      <c r="A568" s="2">
        <v>567</v>
      </c>
      <c r="B568" s="3" t="s">
        <v>5521</v>
      </c>
      <c r="C568" s="3" t="s">
        <v>5652</v>
      </c>
      <c r="D568" s="3" t="s">
        <v>5653</v>
      </c>
      <c r="E568" s="2" t="s">
        <v>103</v>
      </c>
      <c r="F568" s="2" t="s">
        <v>43</v>
      </c>
      <c r="G568" s="3" t="s">
        <v>5654</v>
      </c>
      <c r="H568" s="2" t="s">
        <v>5655</v>
      </c>
      <c r="I568" s="3" t="s">
        <v>29</v>
      </c>
      <c r="J568" s="3" t="s">
        <v>5140</v>
      </c>
      <c r="K568" s="3" t="s">
        <v>47</v>
      </c>
      <c r="L568" s="3" t="s">
        <v>145</v>
      </c>
      <c r="M568" s="3" t="s">
        <v>5656</v>
      </c>
      <c r="N568" s="3" t="s">
        <v>5657</v>
      </c>
      <c r="O568" s="3" t="s">
        <v>5658</v>
      </c>
      <c r="P568" s="3" t="s">
        <v>5659</v>
      </c>
      <c r="Q568" s="3" t="s">
        <v>5660</v>
      </c>
      <c r="R568" s="3" t="s">
        <v>5660</v>
      </c>
      <c r="S568" s="2" t="s">
        <v>38</v>
      </c>
      <c r="T568" s="2" t="s">
        <v>39</v>
      </c>
      <c r="U568" s="2" t="s">
        <v>40</v>
      </c>
      <c r="V568" s="3"/>
    </row>
    <row r="569" spans="1:22">
      <c r="A569" s="2">
        <v>568</v>
      </c>
      <c r="B569" s="3" t="s">
        <v>5521</v>
      </c>
      <c r="C569" s="3" t="s">
        <v>5661</v>
      </c>
      <c r="D569" s="3" t="s">
        <v>5662</v>
      </c>
      <c r="E569" s="2" t="s">
        <v>103</v>
      </c>
      <c r="F569" s="2" t="s">
        <v>43</v>
      </c>
      <c r="G569" s="3" t="s">
        <v>5663</v>
      </c>
      <c r="H569" s="2" t="s">
        <v>5664</v>
      </c>
      <c r="I569" s="3" t="s">
        <v>29</v>
      </c>
      <c r="J569" s="3" t="s">
        <v>5599</v>
      </c>
      <c r="K569" s="3" t="s">
        <v>47</v>
      </c>
      <c r="L569" s="3" t="s">
        <v>167</v>
      </c>
      <c r="M569" s="3" t="s">
        <v>5665</v>
      </c>
      <c r="N569" s="3" t="s">
        <v>5666</v>
      </c>
      <c r="O569" s="3" t="s">
        <v>5667</v>
      </c>
      <c r="P569" s="3" t="s">
        <v>5668</v>
      </c>
      <c r="Q569" s="3" t="s">
        <v>5669</v>
      </c>
      <c r="R569" s="3" t="s">
        <v>5669</v>
      </c>
      <c r="S569" s="2" t="s">
        <v>38</v>
      </c>
      <c r="T569" s="2" t="s">
        <v>39</v>
      </c>
      <c r="U569" s="2" t="s">
        <v>40</v>
      </c>
      <c r="V569" s="3"/>
    </row>
    <row r="570" spans="1:22">
      <c r="A570" s="2">
        <v>569</v>
      </c>
      <c r="B570" s="3" t="s">
        <v>5521</v>
      </c>
      <c r="C570" s="3" t="s">
        <v>5670</v>
      </c>
      <c r="D570" s="3" t="s">
        <v>5671</v>
      </c>
      <c r="E570" s="2" t="s">
        <v>103</v>
      </c>
      <c r="F570" s="2" t="s">
        <v>43</v>
      </c>
      <c r="G570" s="3" t="s">
        <v>5672</v>
      </c>
      <c r="H570" s="2" t="s">
        <v>5673</v>
      </c>
      <c r="I570" s="3" t="s">
        <v>29</v>
      </c>
      <c r="J570" s="3" t="s">
        <v>5674</v>
      </c>
      <c r="K570" s="3" t="s">
        <v>272</v>
      </c>
      <c r="L570" s="3" t="s">
        <v>167</v>
      </c>
      <c r="M570" s="3" t="s">
        <v>5675</v>
      </c>
      <c r="N570" s="3" t="s">
        <v>5676</v>
      </c>
      <c r="O570" s="3" t="s">
        <v>5677</v>
      </c>
      <c r="P570" s="3" t="s">
        <v>5678</v>
      </c>
      <c r="Q570" s="3" t="s">
        <v>5679</v>
      </c>
      <c r="R570" s="3" t="s">
        <v>5679</v>
      </c>
      <c r="S570" s="2" t="s">
        <v>38</v>
      </c>
      <c r="T570" s="2" t="s">
        <v>39</v>
      </c>
      <c r="U570" s="2" t="s">
        <v>40</v>
      </c>
      <c r="V570" s="3"/>
    </row>
    <row r="571" spans="1:22">
      <c r="A571" s="2">
        <v>570</v>
      </c>
      <c r="B571" s="3" t="s">
        <v>5521</v>
      </c>
      <c r="C571" s="3" t="s">
        <v>5680</v>
      </c>
      <c r="D571" s="3" t="s">
        <v>5681</v>
      </c>
      <c r="E571" s="2" t="s">
        <v>103</v>
      </c>
      <c r="F571" s="2" t="s">
        <v>43</v>
      </c>
      <c r="G571" s="3" t="s">
        <v>5682</v>
      </c>
      <c r="H571" s="2" t="s">
        <v>5683</v>
      </c>
      <c r="I571" s="3" t="s">
        <v>29</v>
      </c>
      <c r="J571" s="3" t="s">
        <v>5169</v>
      </c>
      <c r="K571" s="3" t="s">
        <v>47</v>
      </c>
      <c r="L571" s="3" t="s">
        <v>108</v>
      </c>
      <c r="M571" s="3" t="s">
        <v>108</v>
      </c>
      <c r="N571" s="3" t="s">
        <v>5151</v>
      </c>
      <c r="O571" s="3" t="s">
        <v>5684</v>
      </c>
      <c r="P571" s="3" t="s">
        <v>5685</v>
      </c>
      <c r="Q571" s="3" t="s">
        <v>5686</v>
      </c>
      <c r="R571" s="3" t="s">
        <v>5686</v>
      </c>
      <c r="S571" s="2" t="s">
        <v>38</v>
      </c>
      <c r="T571" s="2" t="s">
        <v>39</v>
      </c>
      <c r="U571" s="2" t="s">
        <v>40</v>
      </c>
      <c r="V571" s="3"/>
    </row>
    <row r="572" spans="1:22">
      <c r="A572" s="2">
        <v>571</v>
      </c>
      <c r="B572" s="3" t="s">
        <v>5521</v>
      </c>
      <c r="C572" s="3" t="s">
        <v>5687</v>
      </c>
      <c r="D572" s="3" t="s">
        <v>5688</v>
      </c>
      <c r="E572" s="2" t="s">
        <v>103</v>
      </c>
      <c r="F572" s="2" t="s">
        <v>26</v>
      </c>
      <c r="G572" s="3" t="s">
        <v>5689</v>
      </c>
      <c r="H572" s="2" t="s">
        <v>5690</v>
      </c>
      <c r="I572" s="3" t="s">
        <v>29</v>
      </c>
      <c r="J572" s="3" t="s">
        <v>5111</v>
      </c>
      <c r="K572" s="3" t="s">
        <v>47</v>
      </c>
      <c r="L572" s="3" t="s">
        <v>167</v>
      </c>
      <c r="M572" s="3" t="s">
        <v>5582</v>
      </c>
      <c r="N572" s="3" t="s">
        <v>5691</v>
      </c>
      <c r="O572" s="3" t="s">
        <v>5692</v>
      </c>
      <c r="P572" s="3" t="s">
        <v>5693</v>
      </c>
      <c r="Q572" s="3" t="s">
        <v>5694</v>
      </c>
      <c r="R572" s="3" t="s">
        <v>5694</v>
      </c>
      <c r="S572" s="2" t="s">
        <v>38</v>
      </c>
      <c r="T572" s="2" t="s">
        <v>39</v>
      </c>
      <c r="U572" s="2" t="s">
        <v>40</v>
      </c>
      <c r="V572" s="3"/>
    </row>
    <row r="573" spans="1:22">
      <c r="A573" s="2">
        <v>572</v>
      </c>
      <c r="B573" s="3" t="s">
        <v>5521</v>
      </c>
      <c r="C573" s="3" t="s">
        <v>5695</v>
      </c>
      <c r="D573" s="3" t="s">
        <v>5696</v>
      </c>
      <c r="E573" s="2" t="s">
        <v>103</v>
      </c>
      <c r="F573" s="2" t="s">
        <v>43</v>
      </c>
      <c r="G573" s="3" t="s">
        <v>5697</v>
      </c>
      <c r="H573" s="2" t="s">
        <v>5698</v>
      </c>
      <c r="I573" s="3" t="s">
        <v>29</v>
      </c>
      <c r="J573" s="3" t="s">
        <v>5699</v>
      </c>
      <c r="K573" s="3" t="s">
        <v>47</v>
      </c>
      <c r="L573" s="3" t="s">
        <v>603</v>
      </c>
      <c r="M573" s="3" t="s">
        <v>5700</v>
      </c>
      <c r="N573" s="3" t="s">
        <v>5701</v>
      </c>
      <c r="O573" s="3" t="s">
        <v>5702</v>
      </c>
      <c r="P573" s="3" t="s">
        <v>5703</v>
      </c>
      <c r="Q573" s="3" t="s">
        <v>5704</v>
      </c>
      <c r="R573" s="3" t="s">
        <v>5704</v>
      </c>
      <c r="S573" s="2" t="s">
        <v>38</v>
      </c>
      <c r="T573" s="2" t="s">
        <v>39</v>
      </c>
      <c r="U573" s="2" t="s">
        <v>40</v>
      </c>
      <c r="V573" s="3"/>
    </row>
    <row r="574" spans="1:22">
      <c r="A574" s="2">
        <v>573</v>
      </c>
      <c r="B574" s="3" t="s">
        <v>5521</v>
      </c>
      <c r="C574" s="3" t="s">
        <v>5705</v>
      </c>
      <c r="D574" s="3" t="s">
        <v>5706</v>
      </c>
      <c r="E574" s="2" t="s">
        <v>103</v>
      </c>
      <c r="F574" s="2" t="s">
        <v>43</v>
      </c>
      <c r="G574" s="3" t="s">
        <v>5707</v>
      </c>
      <c r="H574" s="2" t="s">
        <v>5708</v>
      </c>
      <c r="I574" s="3" t="s">
        <v>29</v>
      </c>
      <c r="J574" s="3" t="s">
        <v>219</v>
      </c>
      <c r="K574" s="3" t="s">
        <v>47</v>
      </c>
      <c r="L574" s="3" t="s">
        <v>145</v>
      </c>
      <c r="M574" s="3" t="s">
        <v>5313</v>
      </c>
      <c r="N574" s="3" t="s">
        <v>4817</v>
      </c>
      <c r="O574" s="3" t="s">
        <v>5709</v>
      </c>
      <c r="P574" s="3" t="s">
        <v>5710</v>
      </c>
      <c r="Q574" s="3" t="s">
        <v>5711</v>
      </c>
      <c r="R574" s="3" t="s">
        <v>5711</v>
      </c>
      <c r="S574" s="2" t="s">
        <v>38</v>
      </c>
      <c r="T574" s="2" t="s">
        <v>39</v>
      </c>
      <c r="U574" s="2" t="s">
        <v>40</v>
      </c>
      <c r="V574" s="3"/>
    </row>
    <row r="575" spans="1:22">
      <c r="A575" s="2">
        <v>574</v>
      </c>
      <c r="B575" s="3" t="s">
        <v>5521</v>
      </c>
      <c r="C575" s="3" t="s">
        <v>5712</v>
      </c>
      <c r="D575" s="3" t="s">
        <v>5713</v>
      </c>
      <c r="E575" s="2" t="s">
        <v>1017</v>
      </c>
      <c r="F575" s="2" t="s">
        <v>26</v>
      </c>
      <c r="G575" s="3" t="s">
        <v>5714</v>
      </c>
      <c r="H575" s="2" t="s">
        <v>5715</v>
      </c>
      <c r="I575" s="3" t="s">
        <v>29</v>
      </c>
      <c r="J575" s="3" t="s">
        <v>5265</v>
      </c>
      <c r="K575" s="3" t="s">
        <v>47</v>
      </c>
      <c r="L575" s="3" t="s">
        <v>323</v>
      </c>
      <c r="M575" s="3" t="s">
        <v>5065</v>
      </c>
      <c r="N575" s="3" t="s">
        <v>5591</v>
      </c>
      <c r="O575" s="3" t="s">
        <v>5716</v>
      </c>
      <c r="P575" s="3" t="s">
        <v>5717</v>
      </c>
      <c r="Q575" s="3" t="s">
        <v>5718</v>
      </c>
      <c r="R575" s="3" t="s">
        <v>5718</v>
      </c>
      <c r="S575" s="2" t="s">
        <v>38</v>
      </c>
      <c r="T575" s="2" t="s">
        <v>39</v>
      </c>
      <c r="U575" s="2" t="s">
        <v>40</v>
      </c>
      <c r="V575" s="3"/>
    </row>
    <row r="576" spans="1:22">
      <c r="A576" s="2">
        <v>575</v>
      </c>
      <c r="B576" s="3" t="s">
        <v>5521</v>
      </c>
      <c r="C576" s="3" t="s">
        <v>5719</v>
      </c>
      <c r="D576" s="3" t="s">
        <v>5720</v>
      </c>
      <c r="E576" s="2" t="s">
        <v>116</v>
      </c>
      <c r="F576" s="2" t="s">
        <v>26</v>
      </c>
      <c r="G576" s="3" t="s">
        <v>5721</v>
      </c>
      <c r="H576" s="2" t="s">
        <v>5722</v>
      </c>
      <c r="I576" s="3" t="s">
        <v>29</v>
      </c>
      <c r="J576" s="3" t="s">
        <v>5723</v>
      </c>
      <c r="K576" s="3" t="s">
        <v>47</v>
      </c>
      <c r="L576" s="3" t="s">
        <v>167</v>
      </c>
      <c r="M576" s="3" t="s">
        <v>5724</v>
      </c>
      <c r="N576" s="3" t="s">
        <v>3280</v>
      </c>
      <c r="O576" s="3" t="s">
        <v>5725</v>
      </c>
      <c r="P576" s="3" t="s">
        <v>5726</v>
      </c>
      <c r="Q576" s="3" t="s">
        <v>5727</v>
      </c>
      <c r="R576" s="3" t="s">
        <v>5727</v>
      </c>
      <c r="S576" s="2" t="s">
        <v>38</v>
      </c>
      <c r="T576" s="2" t="s">
        <v>39</v>
      </c>
      <c r="U576" s="2" t="s">
        <v>40</v>
      </c>
      <c r="V576" s="3"/>
    </row>
    <row r="577" spans="1:22">
      <c r="A577" s="2">
        <v>576</v>
      </c>
      <c r="B577" s="3" t="s">
        <v>5521</v>
      </c>
      <c r="C577" s="3" t="s">
        <v>5728</v>
      </c>
      <c r="D577" s="3" t="s">
        <v>5729</v>
      </c>
      <c r="E577" s="2" t="s">
        <v>257</v>
      </c>
      <c r="F577" s="2" t="s">
        <v>26</v>
      </c>
      <c r="G577" s="3" t="s">
        <v>5730</v>
      </c>
      <c r="H577" s="2" t="s">
        <v>5731</v>
      </c>
      <c r="I577" s="3" t="s">
        <v>29</v>
      </c>
      <c r="J577" s="3" t="s">
        <v>5341</v>
      </c>
      <c r="K577" s="3" t="s">
        <v>47</v>
      </c>
      <c r="L577" s="3" t="s">
        <v>132</v>
      </c>
      <c r="M577" s="3" t="s">
        <v>5656</v>
      </c>
      <c r="N577" s="3" t="s">
        <v>5732</v>
      </c>
      <c r="O577" s="3" t="s">
        <v>5733</v>
      </c>
      <c r="P577" s="3" t="s">
        <v>5734</v>
      </c>
      <c r="Q577" s="3" t="s">
        <v>5735</v>
      </c>
      <c r="R577" s="3" t="s">
        <v>5735</v>
      </c>
      <c r="S577" s="2" t="s">
        <v>38</v>
      </c>
      <c r="T577" s="2" t="s">
        <v>39</v>
      </c>
      <c r="U577" s="2" t="s">
        <v>40</v>
      </c>
      <c r="V577" s="3"/>
    </row>
    <row r="578" spans="1:22">
      <c r="A578" s="2">
        <v>577</v>
      </c>
      <c r="B578" s="3" t="s">
        <v>5521</v>
      </c>
      <c r="C578" s="3" t="s">
        <v>5736</v>
      </c>
      <c r="D578" s="3" t="s">
        <v>5737</v>
      </c>
      <c r="E578" s="2" t="s">
        <v>185</v>
      </c>
      <c r="F578" s="2" t="s">
        <v>26</v>
      </c>
      <c r="G578" s="3" t="s">
        <v>5738</v>
      </c>
      <c r="H578" s="2" t="s">
        <v>5739</v>
      </c>
      <c r="I578" s="3" t="s">
        <v>29</v>
      </c>
      <c r="J578" s="3" t="s">
        <v>5064</v>
      </c>
      <c r="K578" s="3" t="s">
        <v>47</v>
      </c>
      <c r="L578" s="3" t="s">
        <v>323</v>
      </c>
      <c r="M578" s="3" t="s">
        <v>5740</v>
      </c>
      <c r="N578" s="3" t="s">
        <v>5591</v>
      </c>
      <c r="O578" s="3" t="s">
        <v>5741</v>
      </c>
      <c r="P578" s="3" t="s">
        <v>5742</v>
      </c>
      <c r="Q578" s="3" t="s">
        <v>5743</v>
      </c>
      <c r="R578" s="3" t="s">
        <v>5743</v>
      </c>
      <c r="S578" s="2" t="s">
        <v>38</v>
      </c>
      <c r="T578" s="2" t="s">
        <v>39</v>
      </c>
      <c r="U578" s="2" t="s">
        <v>40</v>
      </c>
      <c r="V578" s="3"/>
    </row>
    <row r="579" spans="1:22">
      <c r="A579" s="2">
        <v>578</v>
      </c>
      <c r="B579" s="3" t="s">
        <v>5521</v>
      </c>
      <c r="C579" s="3" t="s">
        <v>5744</v>
      </c>
      <c r="D579" s="3" t="s">
        <v>5745</v>
      </c>
      <c r="E579" s="2" t="s">
        <v>185</v>
      </c>
      <c r="F579" s="2" t="s">
        <v>26</v>
      </c>
      <c r="G579" s="3" t="s">
        <v>5746</v>
      </c>
      <c r="H579" s="2" t="s">
        <v>5747</v>
      </c>
      <c r="I579" s="3" t="s">
        <v>29</v>
      </c>
      <c r="J579" s="3" t="s">
        <v>5493</v>
      </c>
      <c r="K579" s="3" t="s">
        <v>47</v>
      </c>
      <c r="L579" s="3" t="s">
        <v>167</v>
      </c>
      <c r="M579" s="3" t="s">
        <v>5748</v>
      </c>
      <c r="N579" s="3" t="s">
        <v>5749</v>
      </c>
      <c r="O579" s="3" t="s">
        <v>5750</v>
      </c>
      <c r="P579" s="3" t="s">
        <v>5751</v>
      </c>
      <c r="Q579" s="3" t="s">
        <v>5752</v>
      </c>
      <c r="R579" s="3" t="s">
        <v>5752</v>
      </c>
      <c r="S579" s="2" t="s">
        <v>38</v>
      </c>
      <c r="T579" s="2" t="s">
        <v>39</v>
      </c>
      <c r="U579" s="2" t="s">
        <v>40</v>
      </c>
      <c r="V579" s="3"/>
    </row>
    <row r="580" spans="1:22">
      <c r="A580" s="2">
        <v>579</v>
      </c>
      <c r="B580" s="3" t="s">
        <v>5521</v>
      </c>
      <c r="C580" s="3" t="s">
        <v>5753</v>
      </c>
      <c r="D580" s="3" t="s">
        <v>5754</v>
      </c>
      <c r="E580" s="2" t="s">
        <v>506</v>
      </c>
      <c r="F580" s="2" t="s">
        <v>26</v>
      </c>
      <c r="G580" s="3" t="s">
        <v>5755</v>
      </c>
      <c r="H580" s="2" t="s">
        <v>5756</v>
      </c>
      <c r="I580" s="3" t="s">
        <v>29</v>
      </c>
      <c r="J580" s="3" t="s">
        <v>5322</v>
      </c>
      <c r="K580" s="3" t="s">
        <v>47</v>
      </c>
      <c r="L580" s="3" t="s">
        <v>167</v>
      </c>
      <c r="M580" s="3" t="s">
        <v>5748</v>
      </c>
      <c r="N580" s="3" t="s">
        <v>5757</v>
      </c>
      <c r="O580" s="3" t="s">
        <v>5758</v>
      </c>
      <c r="P580" s="3" t="s">
        <v>5759</v>
      </c>
      <c r="Q580" s="3" t="s">
        <v>5760</v>
      </c>
      <c r="R580" s="3" t="s">
        <v>5760</v>
      </c>
      <c r="S580" s="2" t="s">
        <v>38</v>
      </c>
      <c r="T580" s="2" t="s">
        <v>39</v>
      </c>
      <c r="U580" s="2" t="s">
        <v>40</v>
      </c>
      <c r="V580" s="3"/>
    </row>
    <row r="581" spans="1:22">
      <c r="A581" s="2">
        <v>580</v>
      </c>
      <c r="B581" s="3" t="s">
        <v>5521</v>
      </c>
      <c r="C581" s="3" t="s">
        <v>5761</v>
      </c>
      <c r="D581" s="3" t="s">
        <v>5762</v>
      </c>
      <c r="E581" s="2" t="s">
        <v>3096</v>
      </c>
      <c r="F581" s="2" t="s">
        <v>43</v>
      </c>
      <c r="G581" s="3" t="s">
        <v>5763</v>
      </c>
      <c r="H581" s="2" t="s">
        <v>5764</v>
      </c>
      <c r="I581" s="3" t="s">
        <v>29</v>
      </c>
      <c r="J581" s="3" t="s">
        <v>5358</v>
      </c>
      <c r="K581" s="3" t="s">
        <v>107</v>
      </c>
      <c r="L581" s="3" t="s">
        <v>32</v>
      </c>
      <c r="M581" s="3" t="s">
        <v>5765</v>
      </c>
      <c r="N581" s="3" t="s">
        <v>5766</v>
      </c>
      <c r="O581" s="3" t="s">
        <v>5767</v>
      </c>
      <c r="P581" s="3" t="s">
        <v>5768</v>
      </c>
      <c r="Q581" s="3" t="s">
        <v>5769</v>
      </c>
      <c r="R581" s="3" t="s">
        <v>5769</v>
      </c>
      <c r="S581" s="2" t="s">
        <v>38</v>
      </c>
      <c r="T581" s="2" t="s">
        <v>39</v>
      </c>
      <c r="U581" s="2" t="s">
        <v>40</v>
      </c>
      <c r="V581" s="3"/>
    </row>
    <row r="582" spans="1:22">
      <c r="A582" s="2">
        <v>581</v>
      </c>
      <c r="B582" s="3" t="s">
        <v>5521</v>
      </c>
      <c r="C582" s="3" t="s">
        <v>5770</v>
      </c>
      <c r="D582" s="3" t="s">
        <v>5771</v>
      </c>
      <c r="E582" s="2" t="s">
        <v>913</v>
      </c>
      <c r="F582" s="2" t="s">
        <v>26</v>
      </c>
      <c r="G582" s="3" t="s">
        <v>5772</v>
      </c>
      <c r="H582" s="2" t="s">
        <v>5773</v>
      </c>
      <c r="I582" s="3" t="s">
        <v>29</v>
      </c>
      <c r="J582" s="3" t="s">
        <v>5044</v>
      </c>
      <c r="K582" s="3" t="s">
        <v>47</v>
      </c>
      <c r="L582" s="3" t="s">
        <v>167</v>
      </c>
      <c r="M582" s="3" t="s">
        <v>5065</v>
      </c>
      <c r="N582" s="3" t="s">
        <v>5774</v>
      </c>
      <c r="O582" s="3" t="s">
        <v>5775</v>
      </c>
      <c r="P582" s="3" t="s">
        <v>5776</v>
      </c>
      <c r="Q582" s="3" t="s">
        <v>5777</v>
      </c>
      <c r="R582" s="3" t="s">
        <v>5777</v>
      </c>
      <c r="S582" s="2" t="s">
        <v>38</v>
      </c>
      <c r="T582" s="2" t="s">
        <v>39</v>
      </c>
      <c r="U582" s="2" t="s">
        <v>40</v>
      </c>
      <c r="V582" s="3"/>
    </row>
    <row r="583" spans="1:22">
      <c r="A583" s="2">
        <v>582</v>
      </c>
      <c r="B583" s="3" t="s">
        <v>5521</v>
      </c>
      <c r="C583" s="3" t="s">
        <v>5778</v>
      </c>
      <c r="D583" s="3" t="s">
        <v>5779</v>
      </c>
      <c r="E583" s="2" t="s">
        <v>25</v>
      </c>
      <c r="F583" s="2" t="s">
        <v>26</v>
      </c>
      <c r="G583" s="3" t="s">
        <v>5780</v>
      </c>
      <c r="H583" s="2" t="s">
        <v>5781</v>
      </c>
      <c r="I583" s="3" t="s">
        <v>29</v>
      </c>
      <c r="J583" s="3" t="s">
        <v>5140</v>
      </c>
      <c r="K583" s="3" t="s">
        <v>47</v>
      </c>
      <c r="L583" s="3" t="s">
        <v>323</v>
      </c>
      <c r="M583" s="3" t="s">
        <v>5782</v>
      </c>
      <c r="N583" s="3" t="s">
        <v>3280</v>
      </c>
      <c r="O583" s="3" t="s">
        <v>5783</v>
      </c>
      <c r="P583" s="3" t="s">
        <v>5784</v>
      </c>
      <c r="Q583" s="3" t="s">
        <v>5785</v>
      </c>
      <c r="R583" s="3" t="s">
        <v>5785</v>
      </c>
      <c r="S583" s="2" t="s">
        <v>38</v>
      </c>
      <c r="T583" s="2" t="s">
        <v>39</v>
      </c>
      <c r="U583" s="2" t="s">
        <v>40</v>
      </c>
      <c r="V583" s="3"/>
    </row>
    <row r="584" spans="1:22">
      <c r="A584" s="2">
        <v>583</v>
      </c>
      <c r="B584" s="3" t="s">
        <v>5521</v>
      </c>
      <c r="C584" s="3" t="s">
        <v>5786</v>
      </c>
      <c r="D584" s="3" t="s">
        <v>5787</v>
      </c>
      <c r="E584" s="2" t="s">
        <v>5788</v>
      </c>
      <c r="F584" s="2" t="s">
        <v>26</v>
      </c>
      <c r="G584" s="3" t="s">
        <v>5789</v>
      </c>
      <c r="H584" s="2" t="s">
        <v>5790</v>
      </c>
      <c r="I584" s="3" t="s">
        <v>29</v>
      </c>
      <c r="J584" s="3" t="s">
        <v>5044</v>
      </c>
      <c r="K584" s="3" t="s">
        <v>272</v>
      </c>
      <c r="L584" s="3" t="s">
        <v>61</v>
      </c>
      <c r="M584" s="3" t="s">
        <v>5791</v>
      </c>
      <c r="N584" s="3" t="s">
        <v>5792</v>
      </c>
      <c r="O584" s="3" t="s">
        <v>5793</v>
      </c>
      <c r="P584" s="3" t="s">
        <v>5794</v>
      </c>
      <c r="Q584" s="3" t="s">
        <v>5795</v>
      </c>
      <c r="R584" s="3" t="s">
        <v>5795</v>
      </c>
      <c r="S584" s="2" t="s">
        <v>38</v>
      </c>
      <c r="T584" s="2" t="s">
        <v>39</v>
      </c>
      <c r="U584" s="2" t="s">
        <v>40</v>
      </c>
      <c r="V584" s="3"/>
    </row>
    <row r="585" spans="1:22">
      <c r="A585" s="2">
        <v>584</v>
      </c>
      <c r="B585" s="3" t="s">
        <v>5521</v>
      </c>
      <c r="C585" s="3" t="s">
        <v>5796</v>
      </c>
      <c r="D585" s="3" t="s">
        <v>5797</v>
      </c>
      <c r="E585" s="2" t="s">
        <v>69</v>
      </c>
      <c r="F585" s="2" t="s">
        <v>26</v>
      </c>
      <c r="G585" s="3" t="s">
        <v>5798</v>
      </c>
      <c r="H585" s="2" t="s">
        <v>5799</v>
      </c>
      <c r="I585" s="3" t="s">
        <v>29</v>
      </c>
      <c r="J585" s="3" t="s">
        <v>5699</v>
      </c>
      <c r="K585" s="3" t="s">
        <v>365</v>
      </c>
      <c r="L585" s="3" t="s">
        <v>61</v>
      </c>
      <c r="M585" s="3" t="s">
        <v>5800</v>
      </c>
      <c r="N585" s="3" t="s">
        <v>5774</v>
      </c>
      <c r="O585" s="3" t="s">
        <v>5801</v>
      </c>
      <c r="P585" s="3" t="s">
        <v>5802</v>
      </c>
      <c r="Q585" s="3" t="s">
        <v>5803</v>
      </c>
      <c r="R585" s="3" t="s">
        <v>5803</v>
      </c>
      <c r="S585" s="2" t="s">
        <v>38</v>
      </c>
      <c r="T585" s="2" t="s">
        <v>39</v>
      </c>
      <c r="U585" s="2" t="s">
        <v>40</v>
      </c>
      <c r="V585" s="3"/>
    </row>
    <row r="586" spans="1:22">
      <c r="A586" s="2">
        <v>585</v>
      </c>
      <c r="B586" s="3" t="s">
        <v>5521</v>
      </c>
      <c r="C586" s="3" t="s">
        <v>5804</v>
      </c>
      <c r="D586" s="3" t="s">
        <v>5805</v>
      </c>
      <c r="E586" s="2" t="s">
        <v>1017</v>
      </c>
      <c r="F586" s="2" t="s">
        <v>26</v>
      </c>
      <c r="G586" s="3" t="s">
        <v>5806</v>
      </c>
      <c r="H586" s="2" t="s">
        <v>5807</v>
      </c>
      <c r="I586" s="3" t="s">
        <v>29</v>
      </c>
      <c r="J586" s="3" t="s">
        <v>5255</v>
      </c>
      <c r="K586" s="3" t="s">
        <v>47</v>
      </c>
      <c r="L586" s="3" t="s">
        <v>61</v>
      </c>
      <c r="M586" s="3" t="s">
        <v>5085</v>
      </c>
      <c r="N586" s="3" t="s">
        <v>5808</v>
      </c>
      <c r="O586" s="3" t="s">
        <v>5809</v>
      </c>
      <c r="P586" s="3" t="s">
        <v>5810</v>
      </c>
      <c r="Q586" s="3" t="s">
        <v>5811</v>
      </c>
      <c r="R586" s="3" t="s">
        <v>5811</v>
      </c>
      <c r="S586" s="2" t="s">
        <v>38</v>
      </c>
      <c r="T586" s="2" t="s">
        <v>39</v>
      </c>
      <c r="U586" s="2" t="s">
        <v>40</v>
      </c>
      <c r="V586" s="3"/>
    </row>
    <row r="587" spans="1:22">
      <c r="A587" s="2">
        <v>586</v>
      </c>
      <c r="B587" s="3" t="s">
        <v>5521</v>
      </c>
      <c r="C587" s="3" t="s">
        <v>5812</v>
      </c>
      <c r="D587" s="3" t="s">
        <v>5813</v>
      </c>
      <c r="E587" s="2" t="s">
        <v>5814</v>
      </c>
      <c r="F587" s="2" t="s">
        <v>26</v>
      </c>
      <c r="G587" s="3" t="s">
        <v>5815</v>
      </c>
      <c r="H587" s="2" t="s">
        <v>5816</v>
      </c>
      <c r="I587" s="3" t="s">
        <v>29</v>
      </c>
      <c r="J587" s="3" t="s">
        <v>5699</v>
      </c>
      <c r="K587" s="3" t="s">
        <v>47</v>
      </c>
      <c r="L587" s="3" t="s">
        <v>132</v>
      </c>
      <c r="M587" s="3" t="s">
        <v>5074</v>
      </c>
      <c r="N587" s="3" t="s">
        <v>5817</v>
      </c>
      <c r="O587" s="3" t="s">
        <v>5818</v>
      </c>
      <c r="P587" s="3" t="s">
        <v>5819</v>
      </c>
      <c r="Q587" s="3" t="s">
        <v>5820</v>
      </c>
      <c r="R587" s="3" t="s">
        <v>5820</v>
      </c>
      <c r="S587" s="2" t="s">
        <v>38</v>
      </c>
      <c r="T587" s="2" t="s">
        <v>39</v>
      </c>
      <c r="U587" s="2" t="s">
        <v>40</v>
      </c>
      <c r="V587" s="3"/>
    </row>
    <row r="588" spans="1:22">
      <c r="A588" s="2">
        <v>587</v>
      </c>
      <c r="B588" s="3" t="s">
        <v>5521</v>
      </c>
      <c r="C588" s="3" t="s">
        <v>5821</v>
      </c>
      <c r="D588" s="3" t="s">
        <v>5822</v>
      </c>
      <c r="E588" s="2" t="s">
        <v>351</v>
      </c>
      <c r="F588" s="2" t="s">
        <v>26</v>
      </c>
      <c r="G588" s="3" t="s">
        <v>5823</v>
      </c>
      <c r="H588" s="2" t="s">
        <v>5824</v>
      </c>
      <c r="I588" s="3" t="s">
        <v>29</v>
      </c>
      <c r="J588" s="3" t="s">
        <v>5825</v>
      </c>
      <c r="K588" s="3" t="s">
        <v>365</v>
      </c>
      <c r="L588" s="3" t="s">
        <v>61</v>
      </c>
      <c r="M588" s="3" t="s">
        <v>5826</v>
      </c>
      <c r="N588" s="3" t="s">
        <v>5827</v>
      </c>
      <c r="O588" s="3" t="s">
        <v>5828</v>
      </c>
      <c r="P588" s="3" t="s">
        <v>5829</v>
      </c>
      <c r="Q588" s="3" t="s">
        <v>5830</v>
      </c>
      <c r="R588" s="3" t="s">
        <v>5830</v>
      </c>
      <c r="S588" s="2" t="s">
        <v>3054</v>
      </c>
      <c r="T588" s="2" t="s">
        <v>39</v>
      </c>
      <c r="U588" s="2" t="s">
        <v>40</v>
      </c>
      <c r="V588" s="3"/>
    </row>
    <row r="589" spans="1:22">
      <c r="A589" s="2">
        <v>588</v>
      </c>
      <c r="B589" s="3" t="s">
        <v>5521</v>
      </c>
      <c r="C589" s="3" t="s">
        <v>5831</v>
      </c>
      <c r="D589" s="3" t="s">
        <v>5832</v>
      </c>
      <c r="E589" s="2" t="s">
        <v>56</v>
      </c>
      <c r="F589" s="2" t="s">
        <v>26</v>
      </c>
      <c r="G589" s="3" t="s">
        <v>5833</v>
      </c>
      <c r="H589" s="2" t="s">
        <v>5834</v>
      </c>
      <c r="I589" s="3" t="s">
        <v>29</v>
      </c>
      <c r="J589" s="3" t="s">
        <v>5835</v>
      </c>
      <c r="K589" s="3" t="s">
        <v>47</v>
      </c>
      <c r="L589" s="3" t="s">
        <v>323</v>
      </c>
      <c r="M589" s="3" t="s">
        <v>5836</v>
      </c>
      <c r="N589" s="3" t="s">
        <v>5837</v>
      </c>
      <c r="O589" s="3" t="s">
        <v>5838</v>
      </c>
      <c r="P589" s="3" t="s">
        <v>5839</v>
      </c>
      <c r="Q589" s="3" t="s">
        <v>5840</v>
      </c>
      <c r="R589" s="3" t="s">
        <v>5840</v>
      </c>
      <c r="S589" s="2" t="s">
        <v>3054</v>
      </c>
      <c r="T589" s="2" t="s">
        <v>39</v>
      </c>
      <c r="U589" s="2" t="s">
        <v>40</v>
      </c>
      <c r="V589" s="3"/>
    </row>
    <row r="590" spans="1:22">
      <c r="A590" s="2">
        <v>589</v>
      </c>
      <c r="B590" s="3" t="s">
        <v>5521</v>
      </c>
      <c r="C590" s="3" t="s">
        <v>5841</v>
      </c>
      <c r="D590" s="3" t="s">
        <v>5842</v>
      </c>
      <c r="E590" s="2" t="s">
        <v>69</v>
      </c>
      <c r="F590" s="2" t="s">
        <v>26</v>
      </c>
      <c r="G590" s="3" t="s">
        <v>5843</v>
      </c>
      <c r="H590" s="2" t="s">
        <v>5844</v>
      </c>
      <c r="I590" s="3" t="s">
        <v>29</v>
      </c>
      <c r="J590" s="3" t="s">
        <v>5845</v>
      </c>
      <c r="K590" s="3" t="s">
        <v>272</v>
      </c>
      <c r="L590" s="3" t="s">
        <v>323</v>
      </c>
      <c r="M590" s="3" t="s">
        <v>5846</v>
      </c>
      <c r="N590" s="3" t="s">
        <v>5847</v>
      </c>
      <c r="O590" s="3" t="s">
        <v>5848</v>
      </c>
      <c r="P590" s="3" t="s">
        <v>5849</v>
      </c>
      <c r="Q590" s="3" t="s">
        <v>5850</v>
      </c>
      <c r="R590" s="3" t="s">
        <v>5850</v>
      </c>
      <c r="S590" s="2" t="s">
        <v>3054</v>
      </c>
      <c r="T590" s="2" t="s">
        <v>39</v>
      </c>
      <c r="U590" s="2" t="s">
        <v>40</v>
      </c>
      <c r="V590" s="3"/>
    </row>
    <row r="591" spans="1:22">
      <c r="A591" s="2">
        <v>590</v>
      </c>
      <c r="B591" s="3" t="s">
        <v>5521</v>
      </c>
      <c r="C591" s="3" t="s">
        <v>5851</v>
      </c>
      <c r="D591" s="3" t="s">
        <v>5852</v>
      </c>
      <c r="E591" s="2" t="s">
        <v>206</v>
      </c>
      <c r="F591" s="2" t="s">
        <v>26</v>
      </c>
      <c r="G591" s="3" t="s">
        <v>5853</v>
      </c>
      <c r="H591" s="2" t="s">
        <v>5854</v>
      </c>
      <c r="I591" s="3" t="s">
        <v>29</v>
      </c>
      <c r="J591" s="3" t="s">
        <v>5855</v>
      </c>
      <c r="K591" s="3" t="s">
        <v>47</v>
      </c>
      <c r="L591" s="3" t="s">
        <v>323</v>
      </c>
      <c r="M591" s="3" t="s">
        <v>5856</v>
      </c>
      <c r="N591" s="3" t="s">
        <v>5857</v>
      </c>
      <c r="O591" s="3" t="s">
        <v>5858</v>
      </c>
      <c r="P591" s="3" t="s">
        <v>5859</v>
      </c>
      <c r="Q591" s="3" t="s">
        <v>5860</v>
      </c>
      <c r="R591" s="3" t="s">
        <v>5860</v>
      </c>
      <c r="S591" s="2" t="s">
        <v>3054</v>
      </c>
      <c r="T591" s="2" t="s">
        <v>39</v>
      </c>
      <c r="U591" s="2" t="s">
        <v>40</v>
      </c>
      <c r="V591" s="3"/>
    </row>
    <row r="592" spans="1:22">
      <c r="A592" s="2">
        <v>591</v>
      </c>
      <c r="B592" s="3" t="s">
        <v>5521</v>
      </c>
      <c r="C592" s="3" t="s">
        <v>5861</v>
      </c>
      <c r="D592" s="3" t="s">
        <v>5862</v>
      </c>
      <c r="E592" s="2" t="s">
        <v>5863</v>
      </c>
      <c r="F592" s="2" t="s">
        <v>26</v>
      </c>
      <c r="G592" s="3" t="s">
        <v>5864</v>
      </c>
      <c r="H592" s="2" t="s">
        <v>5865</v>
      </c>
      <c r="I592" s="3" t="s">
        <v>29</v>
      </c>
      <c r="J592" s="3" t="s">
        <v>5866</v>
      </c>
      <c r="K592" s="3" t="s">
        <v>365</v>
      </c>
      <c r="L592" s="3" t="s">
        <v>61</v>
      </c>
      <c r="M592" s="3" t="s">
        <v>5867</v>
      </c>
      <c r="N592" s="3" t="s">
        <v>5868</v>
      </c>
      <c r="O592" s="3" t="s">
        <v>5869</v>
      </c>
      <c r="P592" s="3" t="s">
        <v>5870</v>
      </c>
      <c r="Q592" s="3" t="s">
        <v>5871</v>
      </c>
      <c r="R592" s="3" t="s">
        <v>5871</v>
      </c>
      <c r="S592" s="2" t="s">
        <v>3054</v>
      </c>
      <c r="T592" s="2" t="s">
        <v>39</v>
      </c>
      <c r="U592" s="2" t="s">
        <v>40</v>
      </c>
      <c r="V592" s="3"/>
    </row>
    <row r="593" spans="1:22">
      <c r="A593" s="2">
        <v>592</v>
      </c>
      <c r="B593" s="3" t="s">
        <v>5521</v>
      </c>
      <c r="C593" s="3" t="s">
        <v>5872</v>
      </c>
      <c r="D593" s="3" t="s">
        <v>5873</v>
      </c>
      <c r="E593" s="2" t="s">
        <v>116</v>
      </c>
      <c r="F593" s="2" t="s">
        <v>26</v>
      </c>
      <c r="G593" s="3" t="s">
        <v>5874</v>
      </c>
      <c r="H593" s="2" t="s">
        <v>5875</v>
      </c>
      <c r="I593" s="3" t="s">
        <v>29</v>
      </c>
      <c r="J593" s="3" t="s">
        <v>5876</v>
      </c>
      <c r="K593" s="3" t="s">
        <v>47</v>
      </c>
      <c r="L593" s="3" t="s">
        <v>61</v>
      </c>
      <c r="M593" s="3" t="s">
        <v>1413</v>
      </c>
      <c r="N593" s="3" t="s">
        <v>5877</v>
      </c>
      <c r="O593" s="3" t="s">
        <v>5878</v>
      </c>
      <c r="P593" s="3" t="s">
        <v>5879</v>
      </c>
      <c r="Q593" s="3" t="s">
        <v>5880</v>
      </c>
      <c r="R593" s="3" t="s">
        <v>5880</v>
      </c>
      <c r="S593" s="2" t="s">
        <v>3054</v>
      </c>
      <c r="T593" s="2" t="s">
        <v>39</v>
      </c>
      <c r="U593" s="2" t="s">
        <v>40</v>
      </c>
      <c r="V593" s="3"/>
    </row>
    <row r="594" spans="1:22">
      <c r="A594" s="2">
        <v>593</v>
      </c>
      <c r="B594" s="3" t="s">
        <v>5521</v>
      </c>
      <c r="C594" s="3" t="s">
        <v>5881</v>
      </c>
      <c r="D594" s="3" t="s">
        <v>5882</v>
      </c>
      <c r="E594" s="2" t="s">
        <v>257</v>
      </c>
      <c r="F594" s="2" t="s">
        <v>26</v>
      </c>
      <c r="G594" s="3" t="s">
        <v>5883</v>
      </c>
      <c r="H594" s="2" t="s">
        <v>5884</v>
      </c>
      <c r="I594" s="3" t="s">
        <v>29</v>
      </c>
      <c r="J594" s="3" t="s">
        <v>5885</v>
      </c>
      <c r="K594" s="3" t="s">
        <v>541</v>
      </c>
      <c r="L594" s="3" t="s">
        <v>167</v>
      </c>
      <c r="M594" s="3" t="s">
        <v>5886</v>
      </c>
      <c r="N594" s="3" t="s">
        <v>5887</v>
      </c>
      <c r="O594" s="3" t="s">
        <v>5888</v>
      </c>
      <c r="P594" s="3" t="s">
        <v>5889</v>
      </c>
      <c r="Q594" s="3" t="s">
        <v>5890</v>
      </c>
      <c r="R594" s="3" t="s">
        <v>5890</v>
      </c>
      <c r="S594" s="2" t="s">
        <v>3054</v>
      </c>
      <c r="T594" s="2" t="s">
        <v>39</v>
      </c>
      <c r="U594" s="2" t="s">
        <v>40</v>
      </c>
      <c r="V594" s="3"/>
    </row>
    <row r="595" spans="1:22">
      <c r="A595" s="2">
        <v>594</v>
      </c>
      <c r="B595" s="3" t="s">
        <v>5521</v>
      </c>
      <c r="C595" s="3" t="s">
        <v>5891</v>
      </c>
      <c r="D595" s="3" t="s">
        <v>5892</v>
      </c>
      <c r="E595" s="2" t="s">
        <v>56</v>
      </c>
      <c r="F595" s="2" t="s">
        <v>26</v>
      </c>
      <c r="G595" s="3" t="s">
        <v>5893</v>
      </c>
      <c r="H595" s="2" t="s">
        <v>5894</v>
      </c>
      <c r="I595" s="3" t="s">
        <v>29</v>
      </c>
      <c r="J595" s="3" t="s">
        <v>5895</v>
      </c>
      <c r="K595" s="3" t="s">
        <v>47</v>
      </c>
      <c r="L595" s="3" t="s">
        <v>132</v>
      </c>
      <c r="M595" s="3" t="s">
        <v>5896</v>
      </c>
      <c r="N595" s="3" t="s">
        <v>5897</v>
      </c>
      <c r="O595" s="3" t="s">
        <v>5898</v>
      </c>
      <c r="P595" s="3" t="s">
        <v>5899</v>
      </c>
      <c r="Q595" s="3" t="s">
        <v>5900</v>
      </c>
      <c r="R595" s="3" t="s">
        <v>5900</v>
      </c>
      <c r="S595" s="2" t="s">
        <v>3054</v>
      </c>
      <c r="T595" s="2" t="s">
        <v>39</v>
      </c>
      <c r="U595" s="2" t="s">
        <v>40</v>
      </c>
      <c r="V595" s="3"/>
    </row>
    <row r="596" spans="1:22">
      <c r="A596" s="2">
        <v>595</v>
      </c>
      <c r="B596" s="3" t="s">
        <v>5521</v>
      </c>
      <c r="C596" s="3" t="s">
        <v>5901</v>
      </c>
      <c r="D596" s="3" t="s">
        <v>5902</v>
      </c>
      <c r="E596" s="2" t="s">
        <v>81</v>
      </c>
      <c r="F596" s="2" t="s">
        <v>26</v>
      </c>
      <c r="G596" s="3" t="s">
        <v>5903</v>
      </c>
      <c r="H596" s="2" t="s">
        <v>5904</v>
      </c>
      <c r="I596" s="3" t="s">
        <v>29</v>
      </c>
      <c r="J596" s="3" t="s">
        <v>5905</v>
      </c>
      <c r="K596" s="3" t="s">
        <v>47</v>
      </c>
      <c r="L596" s="3" t="s">
        <v>167</v>
      </c>
      <c r="M596" s="3" t="s">
        <v>5906</v>
      </c>
      <c r="N596" s="3" t="s">
        <v>5907</v>
      </c>
      <c r="O596" s="3" t="s">
        <v>5908</v>
      </c>
      <c r="P596" s="3" t="s">
        <v>5909</v>
      </c>
      <c r="Q596" s="3" t="s">
        <v>5910</v>
      </c>
      <c r="R596" s="3" t="s">
        <v>5910</v>
      </c>
      <c r="S596" s="2" t="s">
        <v>3054</v>
      </c>
      <c r="T596" s="2" t="s">
        <v>39</v>
      </c>
      <c r="U596" s="2" t="s">
        <v>40</v>
      </c>
      <c r="V596" s="3"/>
    </row>
    <row r="597" spans="1:22">
      <c r="A597" s="2">
        <v>596</v>
      </c>
      <c r="B597" s="3" t="s">
        <v>5521</v>
      </c>
      <c r="C597" s="3" t="s">
        <v>5911</v>
      </c>
      <c r="D597" s="3" t="s">
        <v>5912</v>
      </c>
      <c r="E597" s="2" t="s">
        <v>206</v>
      </c>
      <c r="F597" s="2" t="s">
        <v>26</v>
      </c>
      <c r="G597" s="3" t="s">
        <v>5913</v>
      </c>
      <c r="H597" s="2" t="s">
        <v>5914</v>
      </c>
      <c r="I597" s="3" t="s">
        <v>29</v>
      </c>
      <c r="J597" s="3" t="s">
        <v>5915</v>
      </c>
      <c r="K597" s="3" t="s">
        <v>47</v>
      </c>
      <c r="L597" s="3" t="s">
        <v>132</v>
      </c>
      <c r="M597" s="3" t="s">
        <v>5916</v>
      </c>
      <c r="N597" s="3" t="s">
        <v>5917</v>
      </c>
      <c r="O597" s="3" t="s">
        <v>5918</v>
      </c>
      <c r="P597" s="3" t="s">
        <v>5919</v>
      </c>
      <c r="Q597" s="3" t="s">
        <v>5920</v>
      </c>
      <c r="R597" s="3" t="s">
        <v>5920</v>
      </c>
      <c r="S597" s="2" t="s">
        <v>3054</v>
      </c>
      <c r="T597" s="2" t="s">
        <v>39</v>
      </c>
      <c r="U597" s="2" t="s">
        <v>40</v>
      </c>
      <c r="V597" s="3"/>
    </row>
    <row r="598" spans="1:22">
      <c r="A598" s="2">
        <v>597</v>
      </c>
      <c r="B598" s="3" t="s">
        <v>5521</v>
      </c>
      <c r="C598" s="3" t="s">
        <v>5921</v>
      </c>
      <c r="D598" s="3" t="s">
        <v>5922</v>
      </c>
      <c r="E598" s="2" t="s">
        <v>621</v>
      </c>
      <c r="F598" s="2" t="s">
        <v>26</v>
      </c>
      <c r="G598" s="3" t="s">
        <v>5923</v>
      </c>
      <c r="H598" s="2" t="s">
        <v>5924</v>
      </c>
      <c r="I598" s="3" t="s">
        <v>29</v>
      </c>
      <c r="J598" s="3" t="s">
        <v>5925</v>
      </c>
      <c r="K598" s="3" t="s">
        <v>47</v>
      </c>
      <c r="L598" s="3" t="s">
        <v>323</v>
      </c>
      <c r="M598" s="3" t="s">
        <v>5926</v>
      </c>
      <c r="N598" s="3" t="s">
        <v>5927</v>
      </c>
      <c r="O598" s="3" t="s">
        <v>5928</v>
      </c>
      <c r="P598" s="3" t="s">
        <v>5929</v>
      </c>
      <c r="Q598" s="3" t="s">
        <v>5930</v>
      </c>
      <c r="R598" s="3" t="s">
        <v>5930</v>
      </c>
      <c r="S598" s="2" t="s">
        <v>3054</v>
      </c>
      <c r="T598" s="2" t="s">
        <v>39</v>
      </c>
      <c r="U598" s="2" t="s">
        <v>40</v>
      </c>
      <c r="V598" s="3"/>
    </row>
    <row r="599" spans="1:22">
      <c r="A599" s="2">
        <v>598</v>
      </c>
      <c r="B599" s="3" t="s">
        <v>5521</v>
      </c>
      <c r="C599" s="3" t="s">
        <v>5931</v>
      </c>
      <c r="D599" s="3" t="s">
        <v>5932</v>
      </c>
      <c r="E599" s="2" t="s">
        <v>69</v>
      </c>
      <c r="F599" s="2" t="s">
        <v>26</v>
      </c>
      <c r="G599" s="3" t="s">
        <v>5933</v>
      </c>
      <c r="H599" s="2" t="s">
        <v>5934</v>
      </c>
      <c r="I599" s="3" t="s">
        <v>29</v>
      </c>
      <c r="J599" s="3" t="s">
        <v>5935</v>
      </c>
      <c r="K599" s="3" t="s">
        <v>47</v>
      </c>
      <c r="L599" s="3" t="s">
        <v>323</v>
      </c>
      <c r="M599" s="3" t="s">
        <v>5936</v>
      </c>
      <c r="N599" s="3" t="s">
        <v>818</v>
      </c>
      <c r="O599" s="3" t="s">
        <v>5937</v>
      </c>
      <c r="P599" s="3" t="s">
        <v>5938</v>
      </c>
      <c r="Q599" s="3" t="s">
        <v>5939</v>
      </c>
      <c r="R599" s="3" t="s">
        <v>5939</v>
      </c>
      <c r="S599" s="2" t="s">
        <v>3054</v>
      </c>
      <c r="T599" s="2" t="s">
        <v>39</v>
      </c>
      <c r="U599" s="2" t="s">
        <v>40</v>
      </c>
      <c r="V599" s="3"/>
    </row>
    <row r="600" spans="1:22">
      <c r="A600" s="2">
        <v>599</v>
      </c>
      <c r="B600" s="3" t="s">
        <v>5521</v>
      </c>
      <c r="C600" s="3" t="s">
        <v>5940</v>
      </c>
      <c r="D600" s="3" t="s">
        <v>5941</v>
      </c>
      <c r="E600" s="2" t="s">
        <v>25</v>
      </c>
      <c r="F600" s="2" t="s">
        <v>26</v>
      </c>
      <c r="G600" s="3" t="s">
        <v>5942</v>
      </c>
      <c r="H600" s="2" t="s">
        <v>5943</v>
      </c>
      <c r="I600" s="3" t="s">
        <v>29</v>
      </c>
      <c r="J600" s="3" t="s">
        <v>5944</v>
      </c>
      <c r="K600" s="3" t="s">
        <v>47</v>
      </c>
      <c r="L600" s="3" t="s">
        <v>323</v>
      </c>
      <c r="M600" s="3" t="s">
        <v>5945</v>
      </c>
      <c r="N600" s="3" t="s">
        <v>5946</v>
      </c>
      <c r="O600" s="3" t="s">
        <v>5947</v>
      </c>
      <c r="P600" s="3" t="s">
        <v>5948</v>
      </c>
      <c r="Q600" s="3" t="s">
        <v>5949</v>
      </c>
      <c r="R600" s="3" t="s">
        <v>5949</v>
      </c>
      <c r="S600" s="2" t="s">
        <v>3054</v>
      </c>
      <c r="T600" s="2" t="s">
        <v>39</v>
      </c>
      <c r="U600" s="2" t="s">
        <v>40</v>
      </c>
      <c r="V600" s="3"/>
    </row>
    <row r="601" spans="1:22">
      <c r="A601" s="2">
        <v>600</v>
      </c>
      <c r="B601" s="3" t="s">
        <v>5521</v>
      </c>
      <c r="C601" s="3" t="s">
        <v>5950</v>
      </c>
      <c r="D601" s="3" t="s">
        <v>5951</v>
      </c>
      <c r="E601" s="2" t="s">
        <v>185</v>
      </c>
      <c r="F601" s="2" t="s">
        <v>26</v>
      </c>
      <c r="G601" s="3" t="s">
        <v>5952</v>
      </c>
      <c r="H601" s="2" t="s">
        <v>5953</v>
      </c>
      <c r="I601" s="3" t="s">
        <v>29</v>
      </c>
      <c r="J601" s="3" t="s">
        <v>5954</v>
      </c>
      <c r="K601" s="3" t="s">
        <v>47</v>
      </c>
      <c r="L601" s="3" t="s">
        <v>132</v>
      </c>
      <c r="M601" s="3" t="s">
        <v>5955</v>
      </c>
      <c r="N601" s="3" t="s">
        <v>5956</v>
      </c>
      <c r="O601" s="3" t="s">
        <v>5957</v>
      </c>
      <c r="P601" s="3" t="s">
        <v>5958</v>
      </c>
      <c r="Q601" s="3" t="s">
        <v>5959</v>
      </c>
      <c r="R601" s="3" t="s">
        <v>5959</v>
      </c>
      <c r="S601" s="2" t="s">
        <v>3054</v>
      </c>
      <c r="T601" s="2" t="s">
        <v>39</v>
      </c>
      <c r="U601" s="2" t="s">
        <v>40</v>
      </c>
      <c r="V601" s="3"/>
    </row>
    <row r="602" spans="1:22">
      <c r="A602" s="2">
        <v>601</v>
      </c>
      <c r="B602" s="3" t="s">
        <v>5960</v>
      </c>
      <c r="C602" s="3" t="s">
        <v>5961</v>
      </c>
      <c r="D602" s="3" t="s">
        <v>5962</v>
      </c>
      <c r="E602" s="2" t="s">
        <v>621</v>
      </c>
      <c r="F602" s="2" t="s">
        <v>26</v>
      </c>
      <c r="G602" s="3" t="s">
        <v>5963</v>
      </c>
      <c r="H602" s="2" t="s">
        <v>5964</v>
      </c>
      <c r="I602" s="3" t="s">
        <v>29</v>
      </c>
      <c r="J602" s="3" t="s">
        <v>5965</v>
      </c>
      <c r="K602" s="3" t="s">
        <v>47</v>
      </c>
      <c r="L602" s="3" t="s">
        <v>323</v>
      </c>
      <c r="M602" s="3" t="s">
        <v>5966</v>
      </c>
      <c r="N602" s="3" t="s">
        <v>5967</v>
      </c>
      <c r="O602" s="3" t="s">
        <v>5968</v>
      </c>
      <c r="P602" s="3" t="s">
        <v>5969</v>
      </c>
      <c r="Q602" s="3" t="s">
        <v>5970</v>
      </c>
      <c r="R602" s="3" t="s">
        <v>5970</v>
      </c>
      <c r="S602" s="2" t="s">
        <v>3054</v>
      </c>
      <c r="T602" s="2" t="s">
        <v>39</v>
      </c>
      <c r="U602" s="2" t="s">
        <v>40</v>
      </c>
      <c r="V602" s="3"/>
    </row>
    <row r="603" spans="1:22">
      <c r="A603" s="2">
        <v>602</v>
      </c>
      <c r="B603" s="3" t="s">
        <v>5960</v>
      </c>
      <c r="C603" s="3" t="s">
        <v>5971</v>
      </c>
      <c r="D603" s="3" t="s">
        <v>5972</v>
      </c>
      <c r="E603" s="2" t="s">
        <v>185</v>
      </c>
      <c r="F603" s="2" t="s">
        <v>26</v>
      </c>
      <c r="G603" s="3" t="s">
        <v>5973</v>
      </c>
      <c r="H603" s="2" t="s">
        <v>5974</v>
      </c>
      <c r="I603" s="3" t="s">
        <v>29</v>
      </c>
      <c r="J603" s="3" t="s">
        <v>5975</v>
      </c>
      <c r="K603" s="3" t="s">
        <v>261</v>
      </c>
      <c r="L603" s="3" t="s">
        <v>32</v>
      </c>
      <c r="M603" s="3" t="s">
        <v>5976</v>
      </c>
      <c r="N603" s="3" t="s">
        <v>5977</v>
      </c>
      <c r="O603" s="3" t="s">
        <v>5978</v>
      </c>
      <c r="P603" s="3" t="s">
        <v>5979</v>
      </c>
      <c r="Q603" s="3" t="s">
        <v>5980</v>
      </c>
      <c r="R603" s="3" t="s">
        <v>5980</v>
      </c>
      <c r="S603" s="2" t="s">
        <v>3054</v>
      </c>
      <c r="T603" s="2" t="s">
        <v>39</v>
      </c>
      <c r="U603" s="2" t="s">
        <v>40</v>
      </c>
      <c r="V603" s="3"/>
    </row>
    <row r="604" spans="1:22">
      <c r="A604" s="2">
        <v>603</v>
      </c>
      <c r="B604" s="3" t="s">
        <v>5960</v>
      </c>
      <c r="C604" s="3" t="s">
        <v>5981</v>
      </c>
      <c r="D604" s="3" t="s">
        <v>5982</v>
      </c>
      <c r="E604" s="2" t="s">
        <v>642</v>
      </c>
      <c r="F604" s="2" t="s">
        <v>26</v>
      </c>
      <c r="G604" s="3" t="s">
        <v>5983</v>
      </c>
      <c r="H604" s="2" t="s">
        <v>5984</v>
      </c>
      <c r="I604" s="3" t="s">
        <v>29</v>
      </c>
      <c r="J604" s="3" t="s">
        <v>5985</v>
      </c>
      <c r="K604" s="3" t="s">
        <v>47</v>
      </c>
      <c r="L604" s="3" t="s">
        <v>32</v>
      </c>
      <c r="M604" s="3" t="s">
        <v>5986</v>
      </c>
      <c r="N604" s="3" t="s">
        <v>5987</v>
      </c>
      <c r="O604" s="3" t="s">
        <v>5988</v>
      </c>
      <c r="P604" s="3" t="s">
        <v>5989</v>
      </c>
      <c r="Q604" s="3" t="s">
        <v>5990</v>
      </c>
      <c r="R604" s="3" t="s">
        <v>5990</v>
      </c>
      <c r="S604" s="2" t="s">
        <v>3054</v>
      </c>
      <c r="T604" s="2" t="s">
        <v>39</v>
      </c>
      <c r="U604" s="2" t="s">
        <v>40</v>
      </c>
      <c r="V604" s="3"/>
    </row>
    <row r="605" spans="1:22">
      <c r="A605" s="2">
        <v>604</v>
      </c>
      <c r="B605" s="3" t="s">
        <v>5960</v>
      </c>
      <c r="C605" s="3" t="s">
        <v>5991</v>
      </c>
      <c r="D605" s="3" t="s">
        <v>5992</v>
      </c>
      <c r="E605" s="2" t="s">
        <v>69</v>
      </c>
      <c r="F605" s="2" t="s">
        <v>26</v>
      </c>
      <c r="G605" s="3" t="s">
        <v>5993</v>
      </c>
      <c r="H605" s="2" t="s">
        <v>5994</v>
      </c>
      <c r="I605" s="3" t="s">
        <v>29</v>
      </c>
      <c r="J605" s="3" t="s">
        <v>5995</v>
      </c>
      <c r="K605" s="3" t="s">
        <v>47</v>
      </c>
      <c r="L605" s="3" t="s">
        <v>323</v>
      </c>
      <c r="M605" s="3" t="s">
        <v>5996</v>
      </c>
      <c r="N605" s="3" t="s">
        <v>5997</v>
      </c>
      <c r="O605" s="3" t="s">
        <v>5998</v>
      </c>
      <c r="P605" s="3" t="s">
        <v>5999</v>
      </c>
      <c r="Q605" s="3" t="s">
        <v>6000</v>
      </c>
      <c r="R605" s="3" t="s">
        <v>6000</v>
      </c>
      <c r="S605" s="2" t="s">
        <v>3054</v>
      </c>
      <c r="T605" s="2" t="s">
        <v>39</v>
      </c>
      <c r="U605" s="2" t="s">
        <v>40</v>
      </c>
      <c r="V605" s="3"/>
    </row>
    <row r="606" spans="1:22">
      <c r="A606" s="2">
        <v>605</v>
      </c>
      <c r="B606" s="3" t="s">
        <v>5960</v>
      </c>
      <c r="C606" s="3" t="s">
        <v>6001</v>
      </c>
      <c r="D606" s="3" t="s">
        <v>6002</v>
      </c>
      <c r="E606" s="2" t="s">
        <v>5863</v>
      </c>
      <c r="F606" s="2" t="s">
        <v>26</v>
      </c>
      <c r="G606" s="3" t="s">
        <v>6003</v>
      </c>
      <c r="H606" s="2" t="s">
        <v>6004</v>
      </c>
      <c r="I606" s="3" t="s">
        <v>29</v>
      </c>
      <c r="J606" s="3" t="s">
        <v>6005</v>
      </c>
      <c r="K606" s="3" t="s">
        <v>47</v>
      </c>
      <c r="L606" s="3" t="s">
        <v>323</v>
      </c>
      <c r="M606" s="3" t="s">
        <v>6006</v>
      </c>
      <c r="N606" s="3" t="s">
        <v>6007</v>
      </c>
      <c r="O606" s="3" t="s">
        <v>6008</v>
      </c>
      <c r="P606" s="3" t="s">
        <v>6009</v>
      </c>
      <c r="Q606" s="3" t="s">
        <v>6010</v>
      </c>
      <c r="R606" s="3" t="s">
        <v>6010</v>
      </c>
      <c r="S606" s="2" t="s">
        <v>3054</v>
      </c>
      <c r="T606" s="2" t="s">
        <v>39</v>
      </c>
      <c r="U606" s="2" t="s">
        <v>40</v>
      </c>
      <c r="V606" s="3"/>
    </row>
    <row r="607" spans="1:22">
      <c r="A607" s="2">
        <v>606</v>
      </c>
      <c r="B607" s="3" t="s">
        <v>5960</v>
      </c>
      <c r="C607" s="3" t="s">
        <v>6011</v>
      </c>
      <c r="D607" s="3" t="s">
        <v>6012</v>
      </c>
      <c r="E607" s="2" t="s">
        <v>621</v>
      </c>
      <c r="F607" s="2" t="s">
        <v>43</v>
      </c>
      <c r="G607" s="3" t="s">
        <v>6013</v>
      </c>
      <c r="H607" s="2" t="s">
        <v>6014</v>
      </c>
      <c r="I607" s="3" t="s">
        <v>29</v>
      </c>
      <c r="J607" s="3" t="s">
        <v>6015</v>
      </c>
      <c r="K607" s="3" t="s">
        <v>47</v>
      </c>
      <c r="L607" s="3" t="s">
        <v>989</v>
      </c>
      <c r="M607" s="3" t="s">
        <v>6016</v>
      </c>
      <c r="N607" s="3" t="s">
        <v>6017</v>
      </c>
      <c r="O607" s="3" t="s">
        <v>6018</v>
      </c>
      <c r="P607" s="3" t="s">
        <v>6019</v>
      </c>
      <c r="Q607" s="3" t="s">
        <v>6020</v>
      </c>
      <c r="R607" s="3" t="s">
        <v>6020</v>
      </c>
      <c r="S607" s="2" t="s">
        <v>3054</v>
      </c>
      <c r="T607" s="2" t="s">
        <v>39</v>
      </c>
      <c r="U607" s="2" t="s">
        <v>40</v>
      </c>
      <c r="V607" s="3"/>
    </row>
    <row r="608" spans="1:22">
      <c r="A608" s="2">
        <v>607</v>
      </c>
      <c r="B608" s="3" t="s">
        <v>5960</v>
      </c>
      <c r="C608" s="3" t="s">
        <v>6021</v>
      </c>
      <c r="D608" s="3" t="s">
        <v>6022</v>
      </c>
      <c r="E608" s="2" t="s">
        <v>257</v>
      </c>
      <c r="F608" s="2" t="s">
        <v>43</v>
      </c>
      <c r="G608" s="3" t="s">
        <v>6023</v>
      </c>
      <c r="H608" s="2" t="s">
        <v>6024</v>
      </c>
      <c r="I608" s="3" t="s">
        <v>29</v>
      </c>
      <c r="J608" s="3" t="s">
        <v>6025</v>
      </c>
      <c r="K608" s="3" t="s">
        <v>120</v>
      </c>
      <c r="L608" s="3" t="s">
        <v>156</v>
      </c>
      <c r="M608" s="3" t="s">
        <v>6026</v>
      </c>
      <c r="N608" s="3" t="s">
        <v>6027</v>
      </c>
      <c r="O608" s="3" t="s">
        <v>6028</v>
      </c>
      <c r="P608" s="3" t="s">
        <v>6029</v>
      </c>
      <c r="Q608" s="3" t="s">
        <v>6030</v>
      </c>
      <c r="R608" s="3" t="s">
        <v>6030</v>
      </c>
      <c r="S608" s="2" t="s">
        <v>3054</v>
      </c>
      <c r="T608" s="2" t="s">
        <v>39</v>
      </c>
      <c r="U608" s="2" t="s">
        <v>40</v>
      </c>
      <c r="V608" s="3"/>
    </row>
    <row r="609" spans="1:22">
      <c r="A609" s="2">
        <v>608</v>
      </c>
      <c r="B609" s="3" t="s">
        <v>5960</v>
      </c>
      <c r="C609" s="3" t="s">
        <v>6031</v>
      </c>
      <c r="D609" s="3" t="s">
        <v>6032</v>
      </c>
      <c r="E609" s="2" t="s">
        <v>25</v>
      </c>
      <c r="F609" s="2" t="s">
        <v>43</v>
      </c>
      <c r="G609" s="3" t="s">
        <v>6033</v>
      </c>
      <c r="H609" s="2" t="s">
        <v>6034</v>
      </c>
      <c r="I609" s="3" t="s">
        <v>29</v>
      </c>
      <c r="J609" s="3" t="s">
        <v>6035</v>
      </c>
      <c r="K609" s="3" t="s">
        <v>47</v>
      </c>
      <c r="L609" s="3" t="s">
        <v>989</v>
      </c>
      <c r="M609" s="3" t="s">
        <v>6036</v>
      </c>
      <c r="N609" s="3" t="s">
        <v>6037</v>
      </c>
      <c r="O609" s="3" t="s">
        <v>6038</v>
      </c>
      <c r="P609" s="3" t="s">
        <v>6039</v>
      </c>
      <c r="Q609" s="3" t="s">
        <v>6040</v>
      </c>
      <c r="R609" s="3" t="s">
        <v>6040</v>
      </c>
      <c r="S609" s="2" t="s">
        <v>3054</v>
      </c>
      <c r="T609" s="2" t="s">
        <v>39</v>
      </c>
      <c r="U609" s="2" t="s">
        <v>40</v>
      </c>
      <c r="V609" s="3"/>
    </row>
    <row r="610" spans="1:22">
      <c r="A610" s="2">
        <v>609</v>
      </c>
      <c r="B610" s="3" t="s">
        <v>5960</v>
      </c>
      <c r="C610" s="3" t="s">
        <v>6041</v>
      </c>
      <c r="D610" s="3" t="s">
        <v>6042</v>
      </c>
      <c r="E610" s="2" t="s">
        <v>56</v>
      </c>
      <c r="F610" s="2" t="s">
        <v>43</v>
      </c>
      <c r="G610" s="3" t="s">
        <v>6043</v>
      </c>
      <c r="H610" s="2" t="s">
        <v>6044</v>
      </c>
      <c r="I610" s="3" t="s">
        <v>29</v>
      </c>
      <c r="J610" s="3" t="s">
        <v>6045</v>
      </c>
      <c r="K610" s="3" t="s">
        <v>47</v>
      </c>
      <c r="L610" s="3" t="s">
        <v>293</v>
      </c>
      <c r="M610" s="3" t="s">
        <v>6046</v>
      </c>
      <c r="N610" s="3" t="s">
        <v>6047</v>
      </c>
      <c r="O610" s="3" t="s">
        <v>6048</v>
      </c>
      <c r="P610" s="3" t="s">
        <v>6049</v>
      </c>
      <c r="Q610" s="3" t="s">
        <v>6050</v>
      </c>
      <c r="R610" s="3" t="s">
        <v>6050</v>
      </c>
      <c r="S610" s="2" t="s">
        <v>3054</v>
      </c>
      <c r="T610" s="2" t="s">
        <v>39</v>
      </c>
      <c r="U610" s="2" t="s">
        <v>40</v>
      </c>
      <c r="V610" s="3"/>
    </row>
    <row r="611" spans="1:22">
      <c r="A611" s="2">
        <v>610</v>
      </c>
      <c r="B611" s="3" t="s">
        <v>5960</v>
      </c>
      <c r="C611" s="3" t="s">
        <v>6051</v>
      </c>
      <c r="D611" s="3" t="s">
        <v>6052</v>
      </c>
      <c r="E611" s="2" t="s">
        <v>404</v>
      </c>
      <c r="F611" s="2" t="s">
        <v>43</v>
      </c>
      <c r="G611" s="3" t="s">
        <v>6053</v>
      </c>
      <c r="H611" s="2" t="s">
        <v>6054</v>
      </c>
      <c r="I611" s="3" t="s">
        <v>29</v>
      </c>
      <c r="J611" s="3" t="s">
        <v>6055</v>
      </c>
      <c r="K611" s="3" t="s">
        <v>47</v>
      </c>
      <c r="L611" s="3" t="s">
        <v>48</v>
      </c>
      <c r="M611" s="3" t="s">
        <v>6056</v>
      </c>
      <c r="N611" s="3" t="s">
        <v>6057</v>
      </c>
      <c r="O611" s="3" t="s">
        <v>6058</v>
      </c>
      <c r="P611" s="3" t="s">
        <v>6059</v>
      </c>
      <c r="Q611" s="3" t="s">
        <v>6060</v>
      </c>
      <c r="R611" s="3" t="s">
        <v>6060</v>
      </c>
      <c r="S611" s="2" t="s">
        <v>3054</v>
      </c>
      <c r="T611" s="2" t="s">
        <v>39</v>
      </c>
      <c r="U611" s="2" t="s">
        <v>40</v>
      </c>
      <c r="V611" s="3"/>
    </row>
    <row r="612" spans="1:22">
      <c r="A612" s="2">
        <v>611</v>
      </c>
      <c r="B612" s="3" t="s">
        <v>5960</v>
      </c>
      <c r="C612" s="3" t="s">
        <v>6061</v>
      </c>
      <c r="D612" s="3" t="s">
        <v>6062</v>
      </c>
      <c r="E612" s="2" t="s">
        <v>206</v>
      </c>
      <c r="F612" s="2" t="s">
        <v>43</v>
      </c>
      <c r="G612" s="3" t="s">
        <v>6063</v>
      </c>
      <c r="H612" s="2" t="s">
        <v>6064</v>
      </c>
      <c r="I612" s="3" t="s">
        <v>29</v>
      </c>
      <c r="J612" s="3" t="s">
        <v>6065</v>
      </c>
      <c r="K612" s="3" t="s">
        <v>47</v>
      </c>
      <c r="L612" s="3" t="s">
        <v>48</v>
      </c>
      <c r="M612" s="3" t="s">
        <v>6066</v>
      </c>
      <c r="N612" s="3" t="s">
        <v>6067</v>
      </c>
      <c r="O612" s="3" t="s">
        <v>6068</v>
      </c>
      <c r="P612" s="3" t="s">
        <v>6069</v>
      </c>
      <c r="Q612" s="3" t="s">
        <v>6070</v>
      </c>
      <c r="R612" s="3" t="s">
        <v>6070</v>
      </c>
      <c r="S612" s="2" t="s">
        <v>3054</v>
      </c>
      <c r="T612" s="2" t="s">
        <v>39</v>
      </c>
      <c r="U612" s="2" t="s">
        <v>40</v>
      </c>
      <c r="V612" s="3"/>
    </row>
    <row r="613" spans="1:22">
      <c r="A613" s="2">
        <v>612</v>
      </c>
      <c r="B613" s="3" t="s">
        <v>5960</v>
      </c>
      <c r="C613" s="3" t="s">
        <v>6071</v>
      </c>
      <c r="D613" s="3" t="s">
        <v>6072</v>
      </c>
      <c r="E613" s="2" t="s">
        <v>185</v>
      </c>
      <c r="F613" s="2" t="s">
        <v>43</v>
      </c>
      <c r="G613" s="3" t="s">
        <v>6073</v>
      </c>
      <c r="H613" s="2" t="s">
        <v>6074</v>
      </c>
      <c r="I613" s="3" t="s">
        <v>29</v>
      </c>
      <c r="J613" s="3" t="s">
        <v>6075</v>
      </c>
      <c r="K613" s="3" t="s">
        <v>47</v>
      </c>
      <c r="L613" s="3" t="s">
        <v>156</v>
      </c>
      <c r="M613" s="3" t="s">
        <v>6076</v>
      </c>
      <c r="N613" s="3" t="s">
        <v>6077</v>
      </c>
      <c r="O613" s="3" t="s">
        <v>6078</v>
      </c>
      <c r="P613" s="3" t="s">
        <v>6079</v>
      </c>
      <c r="Q613" s="3" t="s">
        <v>6080</v>
      </c>
      <c r="R613" s="3" t="s">
        <v>6080</v>
      </c>
      <c r="S613" s="2" t="s">
        <v>3054</v>
      </c>
      <c r="T613" s="2" t="s">
        <v>39</v>
      </c>
      <c r="U613" s="2" t="s">
        <v>40</v>
      </c>
      <c r="V613" s="3"/>
    </row>
    <row r="614" spans="1:22">
      <c r="A614" s="2">
        <v>613</v>
      </c>
      <c r="B614" s="3" t="s">
        <v>5960</v>
      </c>
      <c r="C614" s="3" t="s">
        <v>6081</v>
      </c>
      <c r="D614" s="3" t="s">
        <v>6082</v>
      </c>
      <c r="E614" s="2" t="s">
        <v>953</v>
      </c>
      <c r="F614" s="2" t="s">
        <v>43</v>
      </c>
      <c r="G614" s="3" t="s">
        <v>6083</v>
      </c>
      <c r="H614" s="2" t="s">
        <v>6084</v>
      </c>
      <c r="I614" s="3" t="s">
        <v>29</v>
      </c>
      <c r="J614" s="3" t="s">
        <v>6085</v>
      </c>
      <c r="K614" s="3" t="s">
        <v>47</v>
      </c>
      <c r="L614" s="3" t="s">
        <v>48</v>
      </c>
      <c r="M614" s="3" t="s">
        <v>6086</v>
      </c>
      <c r="N614" s="3" t="s">
        <v>6087</v>
      </c>
      <c r="O614" s="3" t="s">
        <v>6088</v>
      </c>
      <c r="P614" s="3" t="s">
        <v>6089</v>
      </c>
      <c r="Q614" s="3" t="s">
        <v>6090</v>
      </c>
      <c r="R614" s="3" t="s">
        <v>6090</v>
      </c>
      <c r="S614" s="2" t="s">
        <v>3054</v>
      </c>
      <c r="T614" s="2" t="s">
        <v>39</v>
      </c>
      <c r="U614" s="2" t="s">
        <v>40</v>
      </c>
      <c r="V614" s="3"/>
    </row>
    <row r="615" spans="1:22">
      <c r="A615" s="2">
        <v>614</v>
      </c>
      <c r="B615" s="3" t="s">
        <v>5960</v>
      </c>
      <c r="C615" s="3" t="s">
        <v>6091</v>
      </c>
      <c r="D615" s="3" t="s">
        <v>6092</v>
      </c>
      <c r="E615" s="2" t="s">
        <v>506</v>
      </c>
      <c r="F615" s="2" t="s">
        <v>43</v>
      </c>
      <c r="G615" s="3" t="s">
        <v>6093</v>
      </c>
      <c r="H615" s="2" t="s">
        <v>6094</v>
      </c>
      <c r="I615" s="3" t="s">
        <v>29</v>
      </c>
      <c r="J615" s="3" t="s">
        <v>6095</v>
      </c>
      <c r="K615" s="3" t="s">
        <v>47</v>
      </c>
      <c r="L615" s="3" t="s">
        <v>167</v>
      </c>
      <c r="M615" s="3" t="s">
        <v>6096</v>
      </c>
      <c r="N615" s="3" t="s">
        <v>6097</v>
      </c>
      <c r="O615" s="3" t="s">
        <v>6098</v>
      </c>
      <c r="P615" s="3" t="s">
        <v>6099</v>
      </c>
      <c r="Q615" s="3" t="s">
        <v>6100</v>
      </c>
      <c r="R615" s="3" t="s">
        <v>6100</v>
      </c>
      <c r="S615" s="2" t="s">
        <v>3054</v>
      </c>
      <c r="T615" s="2" t="s">
        <v>39</v>
      </c>
      <c r="U615" s="2" t="s">
        <v>40</v>
      </c>
      <c r="V615" s="3"/>
    </row>
    <row r="616" spans="1:22">
      <c r="A616" s="2">
        <v>615</v>
      </c>
      <c r="B616" s="3" t="s">
        <v>5960</v>
      </c>
      <c r="C616" s="3" t="s">
        <v>6101</v>
      </c>
      <c r="D616" s="3" t="s">
        <v>6102</v>
      </c>
      <c r="E616" s="2" t="s">
        <v>81</v>
      </c>
      <c r="F616" s="2" t="s">
        <v>43</v>
      </c>
      <c r="G616" s="3" t="s">
        <v>6103</v>
      </c>
      <c r="H616" s="2" t="s">
        <v>6104</v>
      </c>
      <c r="I616" s="3" t="s">
        <v>29</v>
      </c>
      <c r="J616" s="3" t="s">
        <v>6105</v>
      </c>
      <c r="K616" s="3" t="s">
        <v>47</v>
      </c>
      <c r="L616" s="3" t="s">
        <v>293</v>
      </c>
      <c r="M616" s="3" t="s">
        <v>6106</v>
      </c>
      <c r="N616" s="3" t="s">
        <v>4776</v>
      </c>
      <c r="O616" s="3" t="s">
        <v>6107</v>
      </c>
      <c r="P616" s="3" t="s">
        <v>6108</v>
      </c>
      <c r="Q616" s="3" t="s">
        <v>6109</v>
      </c>
      <c r="R616" s="3" t="s">
        <v>6109</v>
      </c>
      <c r="S616" s="2" t="s">
        <v>3054</v>
      </c>
      <c r="T616" s="2" t="s">
        <v>39</v>
      </c>
      <c r="U616" s="2" t="s">
        <v>40</v>
      </c>
      <c r="V616" s="3"/>
    </row>
    <row r="617" spans="1:22">
      <c r="A617" s="2">
        <v>616</v>
      </c>
      <c r="B617" s="3" t="s">
        <v>5960</v>
      </c>
      <c r="C617" s="3" t="s">
        <v>6110</v>
      </c>
      <c r="D617" s="3" t="s">
        <v>6111</v>
      </c>
      <c r="E617" s="2" t="s">
        <v>773</v>
      </c>
      <c r="F617" s="2" t="s">
        <v>43</v>
      </c>
      <c r="G617" s="3" t="s">
        <v>6112</v>
      </c>
      <c r="H617" s="2" t="s">
        <v>6113</v>
      </c>
      <c r="I617" s="3" t="s">
        <v>29</v>
      </c>
      <c r="J617" s="3" t="s">
        <v>6114</v>
      </c>
      <c r="K617" s="3" t="s">
        <v>47</v>
      </c>
      <c r="L617" s="3" t="s">
        <v>323</v>
      </c>
      <c r="M617" s="3" t="s">
        <v>6115</v>
      </c>
      <c r="N617" s="3" t="s">
        <v>4948</v>
      </c>
      <c r="O617" s="3" t="s">
        <v>6116</v>
      </c>
      <c r="P617" s="3" t="s">
        <v>6117</v>
      </c>
      <c r="Q617" s="3" t="s">
        <v>6118</v>
      </c>
      <c r="R617" s="3" t="s">
        <v>6118</v>
      </c>
      <c r="S617" s="2" t="s">
        <v>3054</v>
      </c>
      <c r="T617" s="2" t="s">
        <v>39</v>
      </c>
      <c r="U617" s="2" t="s">
        <v>40</v>
      </c>
      <c r="V617" s="3"/>
    </row>
    <row r="618" spans="1:22">
      <c r="A618" s="2">
        <v>617</v>
      </c>
      <c r="B618" s="3" t="s">
        <v>5960</v>
      </c>
      <c r="C618" s="3" t="s">
        <v>6119</v>
      </c>
      <c r="D618" s="3" t="s">
        <v>6120</v>
      </c>
      <c r="E618" s="2" t="s">
        <v>506</v>
      </c>
      <c r="F618" s="2" t="s">
        <v>43</v>
      </c>
      <c r="G618" s="3" t="s">
        <v>6121</v>
      </c>
      <c r="H618" s="2" t="s">
        <v>6122</v>
      </c>
      <c r="I618" s="3" t="s">
        <v>29</v>
      </c>
      <c r="J618" s="3" t="s">
        <v>6123</v>
      </c>
      <c r="K618" s="3" t="s">
        <v>47</v>
      </c>
      <c r="L618" s="3" t="s">
        <v>167</v>
      </c>
      <c r="M618" s="3" t="s">
        <v>6124</v>
      </c>
      <c r="N618" s="3" t="s">
        <v>6125</v>
      </c>
      <c r="O618" s="3" t="s">
        <v>6126</v>
      </c>
      <c r="P618" s="3" t="s">
        <v>6127</v>
      </c>
      <c r="Q618" s="3" t="s">
        <v>6128</v>
      </c>
      <c r="R618" s="3" t="s">
        <v>6128</v>
      </c>
      <c r="S618" s="2" t="s">
        <v>3054</v>
      </c>
      <c r="T618" s="2" t="s">
        <v>39</v>
      </c>
      <c r="U618" s="2" t="s">
        <v>40</v>
      </c>
      <c r="V618" s="3"/>
    </row>
    <row r="619" spans="1:22">
      <c r="A619" s="2">
        <v>618</v>
      </c>
      <c r="B619" s="3" t="s">
        <v>5960</v>
      </c>
      <c r="C619" s="3" t="s">
        <v>6129</v>
      </c>
      <c r="D619" s="3" t="s">
        <v>6130</v>
      </c>
      <c r="E619" s="2" t="s">
        <v>506</v>
      </c>
      <c r="F619" s="2" t="s">
        <v>43</v>
      </c>
      <c r="G619" s="3" t="s">
        <v>6131</v>
      </c>
      <c r="H619" s="2" t="s">
        <v>6132</v>
      </c>
      <c r="I619" s="3" t="s">
        <v>29</v>
      </c>
      <c r="J619" s="3" t="s">
        <v>6133</v>
      </c>
      <c r="K619" s="3" t="s">
        <v>31</v>
      </c>
      <c r="L619" s="3" t="s">
        <v>132</v>
      </c>
      <c r="M619" s="3" t="s">
        <v>6134</v>
      </c>
      <c r="N619" s="3" t="s">
        <v>6135</v>
      </c>
      <c r="O619" s="3" t="s">
        <v>6136</v>
      </c>
      <c r="P619" s="3" t="s">
        <v>6137</v>
      </c>
      <c r="Q619" s="3" t="s">
        <v>6138</v>
      </c>
      <c r="R619" s="3" t="s">
        <v>6138</v>
      </c>
      <c r="S619" s="2" t="s">
        <v>3054</v>
      </c>
      <c r="T619" s="2" t="s">
        <v>39</v>
      </c>
      <c r="U619" s="2" t="s">
        <v>40</v>
      </c>
      <c r="V619" s="3"/>
    </row>
    <row r="620" spans="1:22">
      <c r="A620" s="2">
        <v>619</v>
      </c>
      <c r="B620" s="3" t="s">
        <v>5960</v>
      </c>
      <c r="C620" s="3" t="s">
        <v>6139</v>
      </c>
      <c r="D620" s="3" t="s">
        <v>6140</v>
      </c>
      <c r="E620" s="2" t="s">
        <v>3096</v>
      </c>
      <c r="F620" s="2" t="s">
        <v>43</v>
      </c>
      <c r="G620" s="3" t="s">
        <v>6141</v>
      </c>
      <c r="H620" s="2" t="s">
        <v>6142</v>
      </c>
      <c r="I620" s="3" t="s">
        <v>29</v>
      </c>
      <c r="J620" s="3" t="s">
        <v>6143</v>
      </c>
      <c r="K620" s="3" t="s">
        <v>47</v>
      </c>
      <c r="L620" s="3" t="s">
        <v>448</v>
      </c>
      <c r="M620" s="3" t="s">
        <v>6144</v>
      </c>
      <c r="N620" s="3" t="s">
        <v>6145</v>
      </c>
      <c r="O620" s="3" t="s">
        <v>6146</v>
      </c>
      <c r="P620" s="3" t="s">
        <v>6147</v>
      </c>
      <c r="Q620" s="3" t="s">
        <v>6148</v>
      </c>
      <c r="R620" s="3" t="s">
        <v>6148</v>
      </c>
      <c r="S620" s="2" t="s">
        <v>3054</v>
      </c>
      <c r="T620" s="2" t="s">
        <v>39</v>
      </c>
      <c r="U620" s="2" t="s">
        <v>40</v>
      </c>
      <c r="V620" s="3"/>
    </row>
    <row r="621" spans="1:22">
      <c r="A621" s="2">
        <v>620</v>
      </c>
      <c r="B621" s="3" t="s">
        <v>5960</v>
      </c>
      <c r="C621" s="3" t="s">
        <v>6149</v>
      </c>
      <c r="D621" s="3" t="s">
        <v>6150</v>
      </c>
      <c r="E621" s="2" t="s">
        <v>206</v>
      </c>
      <c r="F621" s="2" t="s">
        <v>43</v>
      </c>
      <c r="G621" s="3" t="s">
        <v>6151</v>
      </c>
      <c r="H621" s="2" t="s">
        <v>6152</v>
      </c>
      <c r="I621" s="3" t="s">
        <v>29</v>
      </c>
      <c r="J621" s="3" t="s">
        <v>6153</v>
      </c>
      <c r="K621" s="3" t="s">
        <v>272</v>
      </c>
      <c r="L621" s="3" t="s">
        <v>167</v>
      </c>
      <c r="M621" s="3" t="s">
        <v>6154</v>
      </c>
      <c r="N621" s="3" t="s">
        <v>6155</v>
      </c>
      <c r="O621" s="3" t="s">
        <v>6156</v>
      </c>
      <c r="P621" s="3" t="s">
        <v>6157</v>
      </c>
      <c r="Q621" s="3" t="s">
        <v>6158</v>
      </c>
      <c r="R621" s="3" t="s">
        <v>6158</v>
      </c>
      <c r="S621" s="2" t="s">
        <v>3054</v>
      </c>
      <c r="T621" s="2" t="s">
        <v>39</v>
      </c>
      <c r="U621" s="2" t="s">
        <v>40</v>
      </c>
      <c r="V621" s="3"/>
    </row>
    <row r="622" spans="1:22">
      <c r="A622" s="2">
        <v>621</v>
      </c>
      <c r="B622" s="3" t="s">
        <v>5960</v>
      </c>
      <c r="C622" s="3" t="s">
        <v>6159</v>
      </c>
      <c r="D622" s="3" t="s">
        <v>6160</v>
      </c>
      <c r="E622" s="2" t="s">
        <v>116</v>
      </c>
      <c r="F622" s="2" t="s">
        <v>26</v>
      </c>
      <c r="G622" s="3" t="s">
        <v>6161</v>
      </c>
      <c r="H622" s="2" t="s">
        <v>6162</v>
      </c>
      <c r="I622" s="3" t="s">
        <v>29</v>
      </c>
      <c r="J622" s="3" t="s">
        <v>6163</v>
      </c>
      <c r="K622" s="3" t="s">
        <v>47</v>
      </c>
      <c r="L622" s="3" t="s">
        <v>293</v>
      </c>
      <c r="M622" s="3" t="s">
        <v>6164</v>
      </c>
      <c r="N622" s="3" t="s">
        <v>3889</v>
      </c>
      <c r="O622" s="3" t="s">
        <v>6165</v>
      </c>
      <c r="P622" s="3" t="s">
        <v>6166</v>
      </c>
      <c r="Q622" s="3" t="s">
        <v>6167</v>
      </c>
      <c r="R622" s="3" t="s">
        <v>6167</v>
      </c>
      <c r="S622" s="2" t="s">
        <v>3054</v>
      </c>
      <c r="T622" s="2" t="s">
        <v>39</v>
      </c>
      <c r="U622" s="2" t="s">
        <v>40</v>
      </c>
      <c r="V622" s="3"/>
    </row>
    <row r="623" spans="1:22">
      <c r="A623" s="2">
        <v>622</v>
      </c>
      <c r="B623" s="3" t="s">
        <v>5960</v>
      </c>
      <c r="C623" s="3" t="s">
        <v>6168</v>
      </c>
      <c r="D623" s="3" t="s">
        <v>6169</v>
      </c>
      <c r="E623" s="2" t="s">
        <v>25</v>
      </c>
      <c r="F623" s="2" t="s">
        <v>26</v>
      </c>
      <c r="G623" s="3" t="s">
        <v>6170</v>
      </c>
      <c r="H623" s="2" t="s">
        <v>6171</v>
      </c>
      <c r="I623" s="3" t="s">
        <v>29</v>
      </c>
      <c r="J623" s="3" t="s">
        <v>6172</v>
      </c>
      <c r="K623" s="3" t="s">
        <v>47</v>
      </c>
      <c r="L623" s="3" t="s">
        <v>132</v>
      </c>
      <c r="M623" s="3" t="s">
        <v>1746</v>
      </c>
      <c r="N623" s="3" t="s">
        <v>6173</v>
      </c>
      <c r="O623" s="3" t="s">
        <v>6174</v>
      </c>
      <c r="P623" s="3" t="s">
        <v>6175</v>
      </c>
      <c r="Q623" s="3" t="s">
        <v>6176</v>
      </c>
      <c r="R623" s="3" t="s">
        <v>6176</v>
      </c>
      <c r="S623" s="2" t="s">
        <v>3054</v>
      </c>
      <c r="T623" s="2" t="s">
        <v>39</v>
      </c>
      <c r="U623" s="2" t="s">
        <v>40</v>
      </c>
      <c r="V623" s="3"/>
    </row>
    <row r="624" spans="1:22">
      <c r="A624" s="2">
        <v>623</v>
      </c>
      <c r="B624" s="3" t="s">
        <v>5960</v>
      </c>
      <c r="C624" s="3" t="s">
        <v>6177</v>
      </c>
      <c r="D624" s="3" t="s">
        <v>6178</v>
      </c>
      <c r="E624" s="2" t="s">
        <v>415</v>
      </c>
      <c r="F624" s="2" t="s">
        <v>26</v>
      </c>
      <c r="G624" s="3" t="s">
        <v>6179</v>
      </c>
      <c r="H624" s="2" t="s">
        <v>6180</v>
      </c>
      <c r="I624" s="3" t="s">
        <v>29</v>
      </c>
      <c r="J624" s="3" t="s">
        <v>6181</v>
      </c>
      <c r="K624" s="3" t="s">
        <v>47</v>
      </c>
      <c r="L624" s="3" t="s">
        <v>132</v>
      </c>
      <c r="M624" s="3" t="s">
        <v>6182</v>
      </c>
      <c r="N624" s="3" t="s">
        <v>6183</v>
      </c>
      <c r="O624" s="3" t="s">
        <v>6184</v>
      </c>
      <c r="P624" s="3" t="s">
        <v>6185</v>
      </c>
      <c r="Q624" s="3" t="s">
        <v>6186</v>
      </c>
      <c r="R624" s="3" t="s">
        <v>6186</v>
      </c>
      <c r="S624" s="2" t="s">
        <v>3054</v>
      </c>
      <c r="T624" s="2" t="s">
        <v>39</v>
      </c>
      <c r="U624" s="2" t="s">
        <v>40</v>
      </c>
      <c r="V624" s="3"/>
    </row>
    <row r="625" spans="1:22">
      <c r="A625" s="2">
        <v>624</v>
      </c>
      <c r="B625" s="3" t="s">
        <v>5960</v>
      </c>
      <c r="C625" s="3" t="s">
        <v>6187</v>
      </c>
      <c r="D625" s="3" t="s">
        <v>6188</v>
      </c>
      <c r="E625" s="2" t="s">
        <v>103</v>
      </c>
      <c r="F625" s="2" t="s">
        <v>26</v>
      </c>
      <c r="G625" s="3" t="s">
        <v>6189</v>
      </c>
      <c r="H625" s="2" t="s">
        <v>6190</v>
      </c>
      <c r="I625" s="3" t="s">
        <v>29</v>
      </c>
      <c r="J625" s="3" t="s">
        <v>6191</v>
      </c>
      <c r="K625" s="3" t="s">
        <v>365</v>
      </c>
      <c r="L625" s="3" t="s">
        <v>167</v>
      </c>
      <c r="M625" s="3" t="s">
        <v>6192</v>
      </c>
      <c r="N625" s="3" t="s">
        <v>6193</v>
      </c>
      <c r="O625" s="3" t="s">
        <v>6194</v>
      </c>
      <c r="P625" s="3" t="s">
        <v>6195</v>
      </c>
      <c r="Q625" s="3" t="s">
        <v>6196</v>
      </c>
      <c r="R625" s="3" t="s">
        <v>6196</v>
      </c>
      <c r="S625" s="2" t="s">
        <v>3054</v>
      </c>
      <c r="T625" s="2" t="s">
        <v>39</v>
      </c>
      <c r="U625" s="2" t="s">
        <v>40</v>
      </c>
      <c r="V625" s="3"/>
    </row>
    <row r="626" spans="1:22">
      <c r="A626" s="2">
        <v>625</v>
      </c>
      <c r="B626" s="3" t="s">
        <v>5960</v>
      </c>
      <c r="C626" s="3" t="s">
        <v>6197</v>
      </c>
      <c r="D626" s="3" t="s">
        <v>6198</v>
      </c>
      <c r="E626" s="2" t="s">
        <v>185</v>
      </c>
      <c r="F626" s="2" t="s">
        <v>26</v>
      </c>
      <c r="G626" s="3" t="s">
        <v>6199</v>
      </c>
      <c r="H626" s="2" t="s">
        <v>6200</v>
      </c>
      <c r="I626" s="3" t="s">
        <v>29</v>
      </c>
      <c r="J626" s="3" t="s">
        <v>6201</v>
      </c>
      <c r="K626" s="3" t="s">
        <v>47</v>
      </c>
      <c r="L626" s="3" t="s">
        <v>132</v>
      </c>
      <c r="M626" s="3" t="s">
        <v>6202</v>
      </c>
      <c r="N626" s="3" t="s">
        <v>6203</v>
      </c>
      <c r="O626" s="3" t="s">
        <v>6204</v>
      </c>
      <c r="P626" s="3" t="s">
        <v>6205</v>
      </c>
      <c r="Q626" s="3" t="s">
        <v>6206</v>
      </c>
      <c r="R626" s="3" t="s">
        <v>6206</v>
      </c>
      <c r="S626" s="2" t="s">
        <v>3054</v>
      </c>
      <c r="T626" s="2" t="s">
        <v>39</v>
      </c>
      <c r="U626" s="2" t="s">
        <v>40</v>
      </c>
      <c r="V626" s="3"/>
    </row>
    <row r="627" spans="1:22">
      <c r="A627" s="2">
        <v>626</v>
      </c>
      <c r="B627" s="3" t="s">
        <v>5960</v>
      </c>
      <c r="C627" s="3" t="s">
        <v>6207</v>
      </c>
      <c r="D627" s="3" t="s">
        <v>6208</v>
      </c>
      <c r="E627" s="2" t="s">
        <v>621</v>
      </c>
      <c r="F627" s="2" t="s">
        <v>26</v>
      </c>
      <c r="G627" s="3" t="s">
        <v>6209</v>
      </c>
      <c r="H627" s="2" t="s">
        <v>6210</v>
      </c>
      <c r="I627" s="3" t="s">
        <v>29</v>
      </c>
      <c r="J627" s="3" t="s">
        <v>6211</v>
      </c>
      <c r="K627" s="3" t="s">
        <v>47</v>
      </c>
      <c r="L627" s="3" t="s">
        <v>132</v>
      </c>
      <c r="M627" s="3" t="s">
        <v>6212</v>
      </c>
      <c r="N627" s="3" t="s">
        <v>6213</v>
      </c>
      <c r="O627" s="3" t="s">
        <v>6214</v>
      </c>
      <c r="P627" s="3" t="s">
        <v>6215</v>
      </c>
      <c r="Q627" s="3" t="s">
        <v>6216</v>
      </c>
      <c r="R627" s="3" t="s">
        <v>6216</v>
      </c>
      <c r="S627" s="2" t="s">
        <v>3054</v>
      </c>
      <c r="T627" s="2" t="s">
        <v>39</v>
      </c>
      <c r="U627" s="2" t="s">
        <v>40</v>
      </c>
      <c r="V627" s="3"/>
    </row>
    <row r="628" spans="1:22">
      <c r="A628" s="2">
        <v>627</v>
      </c>
      <c r="B628" s="3" t="s">
        <v>5960</v>
      </c>
      <c r="C628" s="3" t="s">
        <v>6217</v>
      </c>
      <c r="D628" s="3" t="s">
        <v>6218</v>
      </c>
      <c r="E628" s="2" t="s">
        <v>69</v>
      </c>
      <c r="F628" s="2" t="s">
        <v>26</v>
      </c>
      <c r="G628" s="3" t="s">
        <v>6219</v>
      </c>
      <c r="H628" s="2" t="s">
        <v>6220</v>
      </c>
      <c r="I628" s="3" t="s">
        <v>29</v>
      </c>
      <c r="J628" s="3" t="s">
        <v>6221</v>
      </c>
      <c r="K628" s="3" t="s">
        <v>272</v>
      </c>
      <c r="L628" s="3" t="s">
        <v>167</v>
      </c>
      <c r="M628" s="3" t="s">
        <v>6222</v>
      </c>
      <c r="N628" s="3" t="s">
        <v>6223</v>
      </c>
      <c r="O628" s="3" t="s">
        <v>6224</v>
      </c>
      <c r="P628" s="3" t="s">
        <v>6225</v>
      </c>
      <c r="Q628" s="3" t="s">
        <v>6226</v>
      </c>
      <c r="R628" s="3" t="s">
        <v>6226</v>
      </c>
      <c r="S628" s="2" t="s">
        <v>3054</v>
      </c>
      <c r="T628" s="2" t="s">
        <v>39</v>
      </c>
      <c r="U628" s="2" t="s">
        <v>40</v>
      </c>
      <c r="V628" s="3"/>
    </row>
    <row r="629" spans="1:22">
      <c r="A629" s="2">
        <v>628</v>
      </c>
      <c r="B629" s="3" t="s">
        <v>5960</v>
      </c>
      <c r="C629" s="3" t="s">
        <v>6227</v>
      </c>
      <c r="D629" s="3" t="s">
        <v>6228</v>
      </c>
      <c r="E629" s="2" t="s">
        <v>128</v>
      </c>
      <c r="F629" s="2" t="s">
        <v>26</v>
      </c>
      <c r="G629" s="3" t="s">
        <v>6229</v>
      </c>
      <c r="H629" s="2" t="s">
        <v>6230</v>
      </c>
      <c r="I629" s="3" t="s">
        <v>29</v>
      </c>
      <c r="J629" s="3" t="s">
        <v>6231</v>
      </c>
      <c r="K629" s="3" t="s">
        <v>47</v>
      </c>
      <c r="L629" s="3" t="s">
        <v>323</v>
      </c>
      <c r="M629" s="3" t="s">
        <v>6232</v>
      </c>
      <c r="N629" s="3" t="s">
        <v>6233</v>
      </c>
      <c r="O629" s="3" t="s">
        <v>6234</v>
      </c>
      <c r="P629" s="3" t="s">
        <v>6235</v>
      </c>
      <c r="Q629" s="3" t="s">
        <v>6236</v>
      </c>
      <c r="R629" s="3" t="s">
        <v>6236</v>
      </c>
      <c r="S629" s="2" t="s">
        <v>3054</v>
      </c>
      <c r="T629" s="2" t="s">
        <v>39</v>
      </c>
      <c r="U629" s="2" t="s">
        <v>40</v>
      </c>
      <c r="V629" s="3"/>
    </row>
    <row r="630" spans="1:22">
      <c r="A630" s="2">
        <v>629</v>
      </c>
      <c r="B630" s="3" t="s">
        <v>5960</v>
      </c>
      <c r="C630" s="3" t="s">
        <v>6237</v>
      </c>
      <c r="D630" s="3" t="s">
        <v>6238</v>
      </c>
      <c r="E630" s="2" t="s">
        <v>116</v>
      </c>
      <c r="F630" s="2" t="s">
        <v>26</v>
      </c>
      <c r="G630" s="3"/>
      <c r="H630" s="2" t="s">
        <v>6239</v>
      </c>
      <c r="I630" s="3" t="s">
        <v>29</v>
      </c>
      <c r="J630" s="3" t="s">
        <v>6240</v>
      </c>
      <c r="K630" s="3" t="s">
        <v>272</v>
      </c>
      <c r="L630" s="3" t="s">
        <v>323</v>
      </c>
      <c r="M630" s="3" t="s">
        <v>6241</v>
      </c>
      <c r="N630" s="3" t="s">
        <v>6242</v>
      </c>
      <c r="O630" s="3" t="s">
        <v>6243</v>
      </c>
      <c r="P630" s="3" t="s">
        <v>6244</v>
      </c>
      <c r="Q630" s="3" t="s">
        <v>6245</v>
      </c>
      <c r="R630" s="3" t="s">
        <v>6245</v>
      </c>
      <c r="S630" s="2" t="s">
        <v>3054</v>
      </c>
      <c r="T630" s="2" t="s">
        <v>39</v>
      </c>
      <c r="U630" s="2" t="s">
        <v>40</v>
      </c>
      <c r="V630" s="3"/>
    </row>
    <row r="631" spans="1:22">
      <c r="A631" s="2">
        <v>630</v>
      </c>
      <c r="B631" s="3" t="s">
        <v>5960</v>
      </c>
      <c r="C631" s="3" t="s">
        <v>6246</v>
      </c>
      <c r="D631" s="3" t="s">
        <v>6247</v>
      </c>
      <c r="E631" s="2" t="s">
        <v>6248</v>
      </c>
      <c r="F631" s="2" t="s">
        <v>26</v>
      </c>
      <c r="G631" s="3" t="s">
        <v>6249</v>
      </c>
      <c r="H631" s="2" t="s">
        <v>6250</v>
      </c>
      <c r="I631" s="3" t="s">
        <v>29</v>
      </c>
      <c r="J631" s="3" t="s">
        <v>6251</v>
      </c>
      <c r="K631" s="3" t="s">
        <v>272</v>
      </c>
      <c r="L631" s="3" t="s">
        <v>323</v>
      </c>
      <c r="M631" s="3" t="s">
        <v>6252</v>
      </c>
      <c r="N631" s="3" t="s">
        <v>6253</v>
      </c>
      <c r="O631" s="3" t="s">
        <v>6254</v>
      </c>
      <c r="P631" s="3" t="s">
        <v>6255</v>
      </c>
      <c r="Q631" s="3" t="s">
        <v>6256</v>
      </c>
      <c r="R631" s="3" t="s">
        <v>6256</v>
      </c>
      <c r="S631" s="2" t="s">
        <v>3054</v>
      </c>
      <c r="T631" s="2" t="s">
        <v>39</v>
      </c>
      <c r="U631" s="2" t="s">
        <v>40</v>
      </c>
      <c r="V631" s="3"/>
    </row>
    <row r="632" spans="1:22">
      <c r="A632" s="2">
        <v>631</v>
      </c>
      <c r="B632" s="3" t="s">
        <v>5960</v>
      </c>
      <c r="C632" s="3" t="s">
        <v>6257</v>
      </c>
      <c r="D632" s="3" t="s">
        <v>6258</v>
      </c>
      <c r="E632" s="2" t="s">
        <v>913</v>
      </c>
      <c r="F632" s="2" t="s">
        <v>26</v>
      </c>
      <c r="G632" s="3" t="s">
        <v>6259</v>
      </c>
      <c r="H632" s="2" t="s">
        <v>6260</v>
      </c>
      <c r="I632" s="3" t="s">
        <v>29</v>
      </c>
      <c r="J632" s="3" t="s">
        <v>6261</v>
      </c>
      <c r="K632" s="3" t="s">
        <v>47</v>
      </c>
      <c r="L632" s="3" t="s">
        <v>73</v>
      </c>
      <c r="M632" s="3" t="s">
        <v>4218</v>
      </c>
      <c r="N632" s="3" t="s">
        <v>6262</v>
      </c>
      <c r="O632" s="3" t="s">
        <v>6263</v>
      </c>
      <c r="P632" s="3" t="s">
        <v>6264</v>
      </c>
      <c r="Q632" s="3" t="s">
        <v>6265</v>
      </c>
      <c r="R632" s="3" t="s">
        <v>6265</v>
      </c>
      <c r="S632" s="2" t="s">
        <v>3054</v>
      </c>
      <c r="T632" s="2" t="s">
        <v>39</v>
      </c>
      <c r="U632" s="2" t="s">
        <v>40</v>
      </c>
      <c r="V632" s="3"/>
    </row>
    <row r="633" spans="1:22">
      <c r="A633" s="2">
        <v>632</v>
      </c>
      <c r="B633" s="3" t="s">
        <v>5960</v>
      </c>
      <c r="C633" s="3" t="s">
        <v>6266</v>
      </c>
      <c r="D633" s="3" t="s">
        <v>6267</v>
      </c>
      <c r="E633" s="2" t="s">
        <v>140</v>
      </c>
      <c r="F633" s="2" t="s">
        <v>26</v>
      </c>
      <c r="G633" s="3" t="s">
        <v>6268</v>
      </c>
      <c r="H633" s="2" t="s">
        <v>6269</v>
      </c>
      <c r="I633" s="3" t="s">
        <v>29</v>
      </c>
      <c r="J633" s="3" t="s">
        <v>6270</v>
      </c>
      <c r="K633" s="3" t="s">
        <v>47</v>
      </c>
      <c r="L633" s="3" t="s">
        <v>167</v>
      </c>
      <c r="M633" s="3" t="s">
        <v>6271</v>
      </c>
      <c r="N633" s="3" t="s">
        <v>6272</v>
      </c>
      <c r="O633" s="3" t="s">
        <v>6273</v>
      </c>
      <c r="P633" s="3" t="s">
        <v>6274</v>
      </c>
      <c r="Q633" s="3" t="s">
        <v>6275</v>
      </c>
      <c r="R633" s="3" t="s">
        <v>6275</v>
      </c>
      <c r="S633" s="2" t="s">
        <v>3054</v>
      </c>
      <c r="T633" s="2" t="s">
        <v>39</v>
      </c>
      <c r="U633" s="2" t="s">
        <v>40</v>
      </c>
      <c r="V633" s="3"/>
    </row>
    <row r="634" spans="1:22">
      <c r="A634" s="2">
        <v>633</v>
      </c>
      <c r="B634" s="3" t="s">
        <v>5960</v>
      </c>
      <c r="C634" s="3" t="s">
        <v>6276</v>
      </c>
      <c r="D634" s="3" t="s">
        <v>6277</v>
      </c>
      <c r="E634" s="2" t="s">
        <v>913</v>
      </c>
      <c r="F634" s="2" t="s">
        <v>26</v>
      </c>
      <c r="G634" s="3" t="s">
        <v>6278</v>
      </c>
      <c r="H634" s="2" t="s">
        <v>6279</v>
      </c>
      <c r="I634" s="3" t="s">
        <v>29</v>
      </c>
      <c r="J634" s="3" t="s">
        <v>6280</v>
      </c>
      <c r="K634" s="3" t="s">
        <v>47</v>
      </c>
      <c r="L634" s="3" t="s">
        <v>293</v>
      </c>
      <c r="M634" s="3" t="s">
        <v>6281</v>
      </c>
      <c r="N634" s="3" t="s">
        <v>6282</v>
      </c>
      <c r="O634" s="3" t="s">
        <v>6283</v>
      </c>
      <c r="P634" s="3" t="s">
        <v>6284</v>
      </c>
      <c r="Q634" s="3" t="s">
        <v>6285</v>
      </c>
      <c r="R634" s="3" t="s">
        <v>6285</v>
      </c>
      <c r="S634" s="2" t="s">
        <v>3054</v>
      </c>
      <c r="T634" s="2" t="s">
        <v>39</v>
      </c>
      <c r="U634" s="2" t="s">
        <v>40</v>
      </c>
      <c r="V634" s="3"/>
    </row>
    <row r="635" spans="1:22">
      <c r="A635" s="2">
        <v>634</v>
      </c>
      <c r="B635" s="3" t="s">
        <v>5960</v>
      </c>
      <c r="C635" s="3" t="s">
        <v>6286</v>
      </c>
      <c r="D635" s="3" t="s">
        <v>6287</v>
      </c>
      <c r="E635" s="2" t="s">
        <v>81</v>
      </c>
      <c r="F635" s="2" t="s">
        <v>26</v>
      </c>
      <c r="G635" s="3" t="s">
        <v>6288</v>
      </c>
      <c r="H635" s="2" t="s">
        <v>6289</v>
      </c>
      <c r="I635" s="3" t="s">
        <v>29</v>
      </c>
      <c r="J635" s="3" t="s">
        <v>6290</v>
      </c>
      <c r="K635" s="3" t="s">
        <v>47</v>
      </c>
      <c r="L635" s="3" t="s">
        <v>293</v>
      </c>
      <c r="M635" s="3" t="s">
        <v>6291</v>
      </c>
      <c r="N635" s="3" t="s">
        <v>6292</v>
      </c>
      <c r="O635" s="3" t="s">
        <v>6293</v>
      </c>
      <c r="P635" s="3" t="s">
        <v>6294</v>
      </c>
      <c r="Q635" s="3" t="s">
        <v>6295</v>
      </c>
      <c r="R635" s="3" t="s">
        <v>6295</v>
      </c>
      <c r="S635" s="2" t="s">
        <v>3054</v>
      </c>
      <c r="T635" s="2" t="s">
        <v>39</v>
      </c>
      <c r="U635" s="2" t="s">
        <v>40</v>
      </c>
      <c r="V635" s="3"/>
    </row>
    <row r="636" spans="1:22">
      <c r="A636" s="2">
        <v>635</v>
      </c>
      <c r="B636" s="3" t="s">
        <v>5960</v>
      </c>
      <c r="C636" s="3" t="s">
        <v>6296</v>
      </c>
      <c r="D636" s="3" t="s">
        <v>6297</v>
      </c>
      <c r="E636" s="2" t="s">
        <v>103</v>
      </c>
      <c r="F636" s="2" t="s">
        <v>26</v>
      </c>
      <c r="G636" s="3" t="s">
        <v>6298</v>
      </c>
      <c r="H636" s="2" t="s">
        <v>6299</v>
      </c>
      <c r="I636" s="3" t="s">
        <v>29</v>
      </c>
      <c r="J636" s="3" t="s">
        <v>6300</v>
      </c>
      <c r="K636" s="3" t="s">
        <v>47</v>
      </c>
      <c r="L636" s="3" t="s">
        <v>323</v>
      </c>
      <c r="M636" s="3" t="s">
        <v>6301</v>
      </c>
      <c r="N636" s="3" t="s">
        <v>6302</v>
      </c>
      <c r="O636" s="3" t="s">
        <v>6303</v>
      </c>
      <c r="P636" s="3" t="s">
        <v>6304</v>
      </c>
      <c r="Q636" s="3" t="s">
        <v>6305</v>
      </c>
      <c r="R636" s="3" t="s">
        <v>6305</v>
      </c>
      <c r="S636" s="2" t="s">
        <v>3054</v>
      </c>
      <c r="T636" s="2" t="s">
        <v>39</v>
      </c>
      <c r="U636" s="2" t="s">
        <v>40</v>
      </c>
      <c r="V636" s="3"/>
    </row>
    <row r="637" spans="1:22">
      <c r="A637" s="2">
        <v>636</v>
      </c>
      <c r="B637" s="3" t="s">
        <v>5960</v>
      </c>
      <c r="C637" s="3" t="s">
        <v>6306</v>
      </c>
      <c r="D637" s="3" t="s">
        <v>6307</v>
      </c>
      <c r="E637" s="2" t="s">
        <v>140</v>
      </c>
      <c r="F637" s="2" t="s">
        <v>26</v>
      </c>
      <c r="G637" s="3" t="s">
        <v>6308</v>
      </c>
      <c r="H637" s="2" t="s">
        <v>6309</v>
      </c>
      <c r="I637" s="3" t="s">
        <v>29</v>
      </c>
      <c r="J637" s="3" t="s">
        <v>6310</v>
      </c>
      <c r="K637" s="3" t="s">
        <v>47</v>
      </c>
      <c r="L637" s="3" t="s">
        <v>167</v>
      </c>
      <c r="M637" s="3" t="s">
        <v>6311</v>
      </c>
      <c r="N637" s="3" t="s">
        <v>6312</v>
      </c>
      <c r="O637" s="3" t="s">
        <v>6313</v>
      </c>
      <c r="P637" s="3" t="s">
        <v>6314</v>
      </c>
      <c r="Q637" s="3" t="s">
        <v>6315</v>
      </c>
      <c r="R637" s="3" t="s">
        <v>6315</v>
      </c>
      <c r="S637" s="2" t="s">
        <v>3054</v>
      </c>
      <c r="T637" s="2" t="s">
        <v>39</v>
      </c>
      <c r="U637" s="2" t="s">
        <v>40</v>
      </c>
      <c r="V637" s="3"/>
    </row>
    <row r="638" spans="1:22">
      <c r="A638" s="2">
        <v>637</v>
      </c>
      <c r="B638" s="3" t="s">
        <v>5960</v>
      </c>
      <c r="C638" s="3" t="s">
        <v>6316</v>
      </c>
      <c r="D638" s="3" t="s">
        <v>6317</v>
      </c>
      <c r="E638" s="2" t="s">
        <v>404</v>
      </c>
      <c r="F638" s="2" t="s">
        <v>26</v>
      </c>
      <c r="G638" s="3" t="s">
        <v>6318</v>
      </c>
      <c r="H638" s="2" t="s">
        <v>6319</v>
      </c>
      <c r="I638" s="3" t="s">
        <v>29</v>
      </c>
      <c r="J638" s="3" t="s">
        <v>5121</v>
      </c>
      <c r="K638" s="3" t="s">
        <v>47</v>
      </c>
      <c r="L638" s="3" t="s">
        <v>167</v>
      </c>
      <c r="M638" s="3" t="s">
        <v>5122</v>
      </c>
      <c r="N638" s="3" t="s">
        <v>6320</v>
      </c>
      <c r="O638" s="3" t="s">
        <v>6321</v>
      </c>
      <c r="P638" s="3" t="s">
        <v>6322</v>
      </c>
      <c r="Q638" s="3" t="s">
        <v>6323</v>
      </c>
      <c r="R638" s="3" t="s">
        <v>6323</v>
      </c>
      <c r="S638" s="2" t="s">
        <v>38</v>
      </c>
      <c r="T638" s="2" t="s">
        <v>39</v>
      </c>
      <c r="U638" s="2" t="s">
        <v>40</v>
      </c>
      <c r="V638" s="3"/>
    </row>
    <row r="639" spans="1:22">
      <c r="A639" s="2">
        <v>638</v>
      </c>
      <c r="B639" s="3" t="s">
        <v>5960</v>
      </c>
      <c r="C639" s="3" t="s">
        <v>6324</v>
      </c>
      <c r="D639" s="3" t="s">
        <v>6325</v>
      </c>
      <c r="E639" s="2" t="s">
        <v>185</v>
      </c>
      <c r="F639" s="2" t="s">
        <v>26</v>
      </c>
      <c r="G639" s="3" t="s">
        <v>6326</v>
      </c>
      <c r="H639" s="2" t="s">
        <v>6327</v>
      </c>
      <c r="I639" s="3" t="s">
        <v>29</v>
      </c>
      <c r="J639" s="3" t="s">
        <v>5064</v>
      </c>
      <c r="K639" s="3" t="s">
        <v>365</v>
      </c>
      <c r="L639" s="3" t="s">
        <v>167</v>
      </c>
      <c r="M639" s="3" t="s">
        <v>6328</v>
      </c>
      <c r="N639" s="3" t="s">
        <v>3280</v>
      </c>
      <c r="O639" s="3" t="s">
        <v>6329</v>
      </c>
      <c r="P639" s="3" t="s">
        <v>6330</v>
      </c>
      <c r="Q639" s="3" t="s">
        <v>6331</v>
      </c>
      <c r="R639" s="3" t="s">
        <v>6331</v>
      </c>
      <c r="S639" s="2" t="s">
        <v>38</v>
      </c>
      <c r="T639" s="2" t="s">
        <v>39</v>
      </c>
      <c r="U639" s="2" t="s">
        <v>40</v>
      </c>
      <c r="V639" s="3"/>
    </row>
    <row r="640" spans="1:22">
      <c r="A640" s="2">
        <v>639</v>
      </c>
      <c r="B640" s="3" t="s">
        <v>5960</v>
      </c>
      <c r="C640" s="3" t="s">
        <v>6332</v>
      </c>
      <c r="D640" s="3" t="s">
        <v>6333</v>
      </c>
      <c r="E640" s="2" t="s">
        <v>1017</v>
      </c>
      <c r="F640" s="2" t="s">
        <v>26</v>
      </c>
      <c r="G640" s="3" t="s">
        <v>6334</v>
      </c>
      <c r="H640" s="2" t="s">
        <v>6335</v>
      </c>
      <c r="I640" s="3" t="s">
        <v>29</v>
      </c>
      <c r="J640" s="3" t="s">
        <v>6336</v>
      </c>
      <c r="K640" s="3" t="s">
        <v>47</v>
      </c>
      <c r="L640" s="3" t="s">
        <v>323</v>
      </c>
      <c r="M640" s="3" t="s">
        <v>5285</v>
      </c>
      <c r="N640" s="3" t="s">
        <v>3280</v>
      </c>
      <c r="O640" s="3" t="s">
        <v>6337</v>
      </c>
      <c r="P640" s="3" t="s">
        <v>6338</v>
      </c>
      <c r="Q640" s="3" t="s">
        <v>6339</v>
      </c>
      <c r="R640" s="3" t="s">
        <v>6339</v>
      </c>
      <c r="S640" s="2" t="s">
        <v>38</v>
      </c>
      <c r="T640" s="2" t="s">
        <v>39</v>
      </c>
      <c r="U640" s="2" t="s">
        <v>40</v>
      </c>
      <c r="V640" s="3"/>
    </row>
    <row r="641" spans="1:22">
      <c r="A641" s="2">
        <v>640</v>
      </c>
      <c r="B641" s="3" t="s">
        <v>5960</v>
      </c>
      <c r="C641" s="3" t="s">
        <v>6340</v>
      </c>
      <c r="D641" s="3" t="s">
        <v>6341</v>
      </c>
      <c r="E641" s="2" t="s">
        <v>185</v>
      </c>
      <c r="F641" s="2" t="s">
        <v>26</v>
      </c>
      <c r="G641" s="3" t="s">
        <v>6342</v>
      </c>
      <c r="H641" s="2" t="s">
        <v>6343</v>
      </c>
      <c r="I641" s="3" t="s">
        <v>29</v>
      </c>
      <c r="J641" s="3" t="s">
        <v>5322</v>
      </c>
      <c r="K641" s="3" t="s">
        <v>47</v>
      </c>
      <c r="L641" s="3" t="s">
        <v>167</v>
      </c>
      <c r="M641" s="3" t="s">
        <v>5285</v>
      </c>
      <c r="N641" s="3" t="s">
        <v>5212</v>
      </c>
      <c r="O641" s="3" t="s">
        <v>6344</v>
      </c>
      <c r="P641" s="3" t="s">
        <v>6345</v>
      </c>
      <c r="Q641" s="3" t="s">
        <v>6346</v>
      </c>
      <c r="R641" s="3" t="s">
        <v>6346</v>
      </c>
      <c r="S641" s="2" t="s">
        <v>38</v>
      </c>
      <c r="T641" s="2" t="s">
        <v>39</v>
      </c>
      <c r="U641" s="2" t="s">
        <v>40</v>
      </c>
      <c r="V641" s="3"/>
    </row>
    <row r="642" spans="1:22">
      <c r="A642" s="2">
        <v>641</v>
      </c>
      <c r="B642" s="3" t="s">
        <v>5960</v>
      </c>
      <c r="C642" s="3" t="s">
        <v>6347</v>
      </c>
      <c r="D642" s="3" t="s">
        <v>6348</v>
      </c>
      <c r="E642" s="2" t="s">
        <v>69</v>
      </c>
      <c r="F642" s="2" t="s">
        <v>26</v>
      </c>
      <c r="G642" s="3" t="s">
        <v>6349</v>
      </c>
      <c r="H642" s="2" t="s">
        <v>6350</v>
      </c>
      <c r="I642" s="3" t="s">
        <v>29</v>
      </c>
      <c r="J642" s="3" t="s">
        <v>5044</v>
      </c>
      <c r="K642" s="3" t="s">
        <v>47</v>
      </c>
      <c r="L642" s="3" t="s">
        <v>167</v>
      </c>
      <c r="M642" s="3" t="s">
        <v>5656</v>
      </c>
      <c r="N642" s="3" t="s">
        <v>6351</v>
      </c>
      <c r="O642" s="3" t="s">
        <v>6352</v>
      </c>
      <c r="P642" s="3" t="s">
        <v>6353</v>
      </c>
      <c r="Q642" s="3" t="s">
        <v>6354</v>
      </c>
      <c r="R642" s="3" t="s">
        <v>6354</v>
      </c>
      <c r="S642" s="2" t="s">
        <v>38</v>
      </c>
      <c r="T642" s="2" t="s">
        <v>39</v>
      </c>
      <c r="U642" s="2" t="s">
        <v>40</v>
      </c>
      <c r="V642" s="3"/>
    </row>
    <row r="643" spans="1:22">
      <c r="A643" s="2">
        <v>642</v>
      </c>
      <c r="B643" s="3" t="s">
        <v>5960</v>
      </c>
      <c r="C643" s="3" t="s">
        <v>6355</v>
      </c>
      <c r="D643" s="3" t="s">
        <v>6356</v>
      </c>
      <c r="E643" s="2" t="s">
        <v>953</v>
      </c>
      <c r="F643" s="2" t="s">
        <v>26</v>
      </c>
      <c r="G643" s="3" t="s">
        <v>6357</v>
      </c>
      <c r="H643" s="2" t="s">
        <v>6358</v>
      </c>
      <c r="I643" s="3" t="s">
        <v>29</v>
      </c>
      <c r="J643" s="3" t="s">
        <v>5044</v>
      </c>
      <c r="K643" s="3" t="s">
        <v>47</v>
      </c>
      <c r="L643" s="3" t="s">
        <v>132</v>
      </c>
      <c r="M643" s="3" t="s">
        <v>6359</v>
      </c>
      <c r="N643" s="3" t="s">
        <v>6360</v>
      </c>
      <c r="O643" s="3" t="s">
        <v>6361</v>
      </c>
      <c r="P643" s="3" t="s">
        <v>6362</v>
      </c>
      <c r="Q643" s="3" t="s">
        <v>6363</v>
      </c>
      <c r="R643" s="3" t="s">
        <v>6363</v>
      </c>
      <c r="S643" s="2" t="s">
        <v>38</v>
      </c>
      <c r="T643" s="2" t="s">
        <v>39</v>
      </c>
      <c r="U643" s="2" t="s">
        <v>40</v>
      </c>
      <c r="V643" s="3"/>
    </row>
    <row r="644" spans="1:22">
      <c r="A644" s="2">
        <v>643</v>
      </c>
      <c r="B644" s="3" t="s">
        <v>5960</v>
      </c>
      <c r="C644" s="3" t="s">
        <v>6364</v>
      </c>
      <c r="D644" s="3" t="s">
        <v>6365</v>
      </c>
      <c r="E644" s="2" t="s">
        <v>506</v>
      </c>
      <c r="F644" s="2" t="s">
        <v>26</v>
      </c>
      <c r="G644" s="3" t="s">
        <v>6366</v>
      </c>
      <c r="H644" s="2" t="s">
        <v>6367</v>
      </c>
      <c r="I644" s="3" t="s">
        <v>29</v>
      </c>
      <c r="J644" s="3" t="s">
        <v>5341</v>
      </c>
      <c r="K644" s="3" t="s">
        <v>47</v>
      </c>
      <c r="L644" s="3" t="s">
        <v>167</v>
      </c>
      <c r="M644" s="3" t="s">
        <v>6368</v>
      </c>
      <c r="N644" s="3" t="s">
        <v>5428</v>
      </c>
      <c r="O644" s="3" t="s">
        <v>6369</v>
      </c>
      <c r="P644" s="3" t="s">
        <v>6370</v>
      </c>
      <c r="Q644" s="3" t="s">
        <v>6371</v>
      </c>
      <c r="R644" s="3" t="s">
        <v>6371</v>
      </c>
      <c r="S644" s="2" t="s">
        <v>38</v>
      </c>
      <c r="T644" s="2" t="s">
        <v>39</v>
      </c>
      <c r="U644" s="2" t="s">
        <v>40</v>
      </c>
      <c r="V644" s="3"/>
    </row>
    <row r="645" spans="1:22">
      <c r="A645" s="2">
        <v>644</v>
      </c>
      <c r="B645" s="3" t="s">
        <v>5960</v>
      </c>
      <c r="C645" s="3" t="s">
        <v>6372</v>
      </c>
      <c r="D645" s="3" t="s">
        <v>6373</v>
      </c>
      <c r="E645" s="2" t="s">
        <v>81</v>
      </c>
      <c r="F645" s="2" t="s">
        <v>26</v>
      </c>
      <c r="G645" s="3" t="s">
        <v>6374</v>
      </c>
      <c r="H645" s="2" t="s">
        <v>6375</v>
      </c>
      <c r="I645" s="3" t="s">
        <v>29</v>
      </c>
      <c r="J645" s="3" t="s">
        <v>5064</v>
      </c>
      <c r="K645" s="3" t="s">
        <v>47</v>
      </c>
      <c r="L645" s="3" t="s">
        <v>323</v>
      </c>
      <c r="M645" s="3" t="s">
        <v>5656</v>
      </c>
      <c r="N645" s="3" t="s">
        <v>5194</v>
      </c>
      <c r="O645" s="3" t="s">
        <v>6376</v>
      </c>
      <c r="P645" s="3" t="s">
        <v>6377</v>
      </c>
      <c r="Q645" s="3" t="s">
        <v>6378</v>
      </c>
      <c r="R645" s="3" t="s">
        <v>6378</v>
      </c>
      <c r="S645" s="2" t="s">
        <v>38</v>
      </c>
      <c r="T645" s="2" t="s">
        <v>39</v>
      </c>
      <c r="U645" s="2" t="s">
        <v>40</v>
      </c>
      <c r="V645" s="3"/>
    </row>
    <row r="646" spans="1:22">
      <c r="A646" s="2">
        <v>645</v>
      </c>
      <c r="B646" s="3" t="s">
        <v>5960</v>
      </c>
      <c r="C646" s="3" t="s">
        <v>6379</v>
      </c>
      <c r="D646" s="3" t="s">
        <v>6380</v>
      </c>
      <c r="E646" s="2" t="s">
        <v>81</v>
      </c>
      <c r="F646" s="2" t="s">
        <v>26</v>
      </c>
      <c r="G646" s="3" t="s">
        <v>6381</v>
      </c>
      <c r="H646" s="2" t="s">
        <v>6382</v>
      </c>
      <c r="I646" s="3" t="s">
        <v>29</v>
      </c>
      <c r="J646" s="3" t="s">
        <v>5111</v>
      </c>
      <c r="K646" s="3" t="s">
        <v>272</v>
      </c>
      <c r="L646" s="3" t="s">
        <v>323</v>
      </c>
      <c r="M646" s="3" t="s">
        <v>5266</v>
      </c>
      <c r="N646" s="3" t="s">
        <v>3280</v>
      </c>
      <c r="O646" s="3" t="s">
        <v>6383</v>
      </c>
      <c r="P646" s="3" t="s">
        <v>6384</v>
      </c>
      <c r="Q646" s="3" t="s">
        <v>6385</v>
      </c>
      <c r="R646" s="3" t="s">
        <v>6385</v>
      </c>
      <c r="S646" s="2" t="s">
        <v>38</v>
      </c>
      <c r="T646" s="2" t="s">
        <v>39</v>
      </c>
      <c r="U646" s="2" t="s">
        <v>40</v>
      </c>
      <c r="V646" s="3"/>
    </row>
    <row r="647" spans="1:22">
      <c r="A647" s="2">
        <v>646</v>
      </c>
      <c r="B647" s="3" t="s">
        <v>5960</v>
      </c>
      <c r="C647" s="3" t="s">
        <v>6386</v>
      </c>
      <c r="D647" s="3" t="s">
        <v>6387</v>
      </c>
      <c r="E647" s="2" t="s">
        <v>128</v>
      </c>
      <c r="F647" s="2" t="s">
        <v>26</v>
      </c>
      <c r="G647" s="3" t="s">
        <v>6388</v>
      </c>
      <c r="H647" s="2" t="s">
        <v>6389</v>
      </c>
      <c r="I647" s="3" t="s">
        <v>29</v>
      </c>
      <c r="J647" s="3" t="s">
        <v>5322</v>
      </c>
      <c r="K647" s="3" t="s">
        <v>47</v>
      </c>
      <c r="L647" s="3" t="s">
        <v>167</v>
      </c>
      <c r="M647" s="3" t="s">
        <v>5285</v>
      </c>
      <c r="N647" s="3" t="s">
        <v>6390</v>
      </c>
      <c r="O647" s="3" t="s">
        <v>6391</v>
      </c>
      <c r="P647" s="3" t="s">
        <v>6392</v>
      </c>
      <c r="Q647" s="3" t="s">
        <v>6393</v>
      </c>
      <c r="R647" s="3" t="s">
        <v>6393</v>
      </c>
      <c r="S647" s="2" t="s">
        <v>38</v>
      </c>
      <c r="T647" s="2" t="s">
        <v>39</v>
      </c>
      <c r="U647" s="2" t="s">
        <v>40</v>
      </c>
      <c r="V647" s="3"/>
    </row>
    <row r="648" spans="1:22">
      <c r="A648" s="2">
        <v>647</v>
      </c>
      <c r="B648" s="3" t="s">
        <v>5960</v>
      </c>
      <c r="C648" s="3" t="s">
        <v>6394</v>
      </c>
      <c r="D648" s="3" t="s">
        <v>6395</v>
      </c>
      <c r="E648" s="2" t="s">
        <v>6396</v>
      </c>
      <c r="F648" s="2" t="s">
        <v>26</v>
      </c>
      <c r="G648" s="3" t="s">
        <v>6397</v>
      </c>
      <c r="H648" s="2" t="s">
        <v>6398</v>
      </c>
      <c r="I648" s="3" t="s">
        <v>29</v>
      </c>
      <c r="J648" s="3" t="s">
        <v>5064</v>
      </c>
      <c r="K648" s="3" t="s">
        <v>272</v>
      </c>
      <c r="L648" s="3" t="s">
        <v>323</v>
      </c>
      <c r="M648" s="3" t="s">
        <v>6399</v>
      </c>
      <c r="N648" s="3" t="s">
        <v>6400</v>
      </c>
      <c r="O648" s="3" t="s">
        <v>6401</v>
      </c>
      <c r="P648" s="3" t="s">
        <v>6402</v>
      </c>
      <c r="Q648" s="3" t="s">
        <v>6403</v>
      </c>
      <c r="R648" s="3" t="s">
        <v>6403</v>
      </c>
      <c r="S648" s="2" t="s">
        <v>38</v>
      </c>
      <c r="T648" s="2" t="s">
        <v>39</v>
      </c>
      <c r="U648" s="2" t="s">
        <v>40</v>
      </c>
      <c r="V648" s="3"/>
    </row>
    <row r="649" spans="1:22">
      <c r="A649" s="2">
        <v>648</v>
      </c>
      <c r="B649" s="3" t="s">
        <v>5960</v>
      </c>
      <c r="C649" s="3" t="s">
        <v>6404</v>
      </c>
      <c r="D649" s="3" t="s">
        <v>6405</v>
      </c>
      <c r="E649" s="2" t="s">
        <v>128</v>
      </c>
      <c r="F649" s="2" t="s">
        <v>43</v>
      </c>
      <c r="G649" s="3" t="s">
        <v>6406</v>
      </c>
      <c r="H649" s="2" t="s">
        <v>6407</v>
      </c>
      <c r="I649" s="3" t="s">
        <v>29</v>
      </c>
      <c r="J649" s="3" t="s">
        <v>6408</v>
      </c>
      <c r="K649" s="3" t="s">
        <v>47</v>
      </c>
      <c r="L649" s="3" t="s">
        <v>132</v>
      </c>
      <c r="M649" s="3" t="s">
        <v>5074</v>
      </c>
      <c r="N649" s="3" t="s">
        <v>6409</v>
      </c>
      <c r="O649" s="3" t="s">
        <v>6410</v>
      </c>
      <c r="P649" s="3" t="s">
        <v>6411</v>
      </c>
      <c r="Q649" s="3" t="s">
        <v>6412</v>
      </c>
      <c r="R649" s="3" t="s">
        <v>6412</v>
      </c>
      <c r="S649" s="2" t="s">
        <v>38</v>
      </c>
      <c r="T649" s="2" t="s">
        <v>39</v>
      </c>
      <c r="U649" s="2" t="s">
        <v>40</v>
      </c>
      <c r="V649" s="3"/>
    </row>
    <row r="650" spans="1:22">
      <c r="A650" s="2">
        <v>649</v>
      </c>
      <c r="B650" s="3" t="s">
        <v>5960</v>
      </c>
      <c r="C650" s="3" t="s">
        <v>6413</v>
      </c>
      <c r="D650" s="3" t="s">
        <v>6414</v>
      </c>
      <c r="E650" s="2" t="s">
        <v>56</v>
      </c>
      <c r="F650" s="2" t="s">
        <v>43</v>
      </c>
      <c r="G650" s="3" t="s">
        <v>6415</v>
      </c>
      <c r="H650" s="2" t="s">
        <v>6416</v>
      </c>
      <c r="I650" s="3" t="s">
        <v>29</v>
      </c>
      <c r="J650" s="3" t="s">
        <v>5284</v>
      </c>
      <c r="K650" s="3" t="s">
        <v>47</v>
      </c>
      <c r="L650" s="3" t="s">
        <v>145</v>
      </c>
      <c r="M650" s="3" t="s">
        <v>5313</v>
      </c>
      <c r="N650" s="3" t="s">
        <v>6417</v>
      </c>
      <c r="O650" s="3" t="s">
        <v>6418</v>
      </c>
      <c r="P650" s="3" t="s">
        <v>6419</v>
      </c>
      <c r="Q650" s="3" t="s">
        <v>6420</v>
      </c>
      <c r="R650" s="3" t="s">
        <v>6420</v>
      </c>
      <c r="S650" s="2" t="s">
        <v>38</v>
      </c>
      <c r="T650" s="2" t="s">
        <v>39</v>
      </c>
      <c r="U650" s="2" t="s">
        <v>40</v>
      </c>
      <c r="V650" s="3"/>
    </row>
    <row r="651" spans="1:22">
      <c r="A651" s="2">
        <v>650</v>
      </c>
      <c r="B651" s="3" t="s">
        <v>5960</v>
      </c>
      <c r="C651" s="3" t="s">
        <v>6421</v>
      </c>
      <c r="D651" s="3" t="s">
        <v>6422</v>
      </c>
      <c r="E651" s="2" t="s">
        <v>404</v>
      </c>
      <c r="F651" s="2" t="s">
        <v>43</v>
      </c>
      <c r="G651" s="3" t="s">
        <v>6423</v>
      </c>
      <c r="H651" s="2" t="s">
        <v>6424</v>
      </c>
      <c r="I651" s="3" t="s">
        <v>29</v>
      </c>
      <c r="J651" s="3" t="s">
        <v>5341</v>
      </c>
      <c r="K651" s="3" t="s">
        <v>47</v>
      </c>
      <c r="L651" s="3" t="s">
        <v>132</v>
      </c>
      <c r="M651" s="3" t="s">
        <v>5656</v>
      </c>
      <c r="N651" s="3" t="s">
        <v>6425</v>
      </c>
      <c r="O651" s="3" t="s">
        <v>6426</v>
      </c>
      <c r="P651" s="3" t="s">
        <v>6427</v>
      </c>
      <c r="Q651" s="3" t="s">
        <v>6428</v>
      </c>
      <c r="R651" s="3" t="s">
        <v>6428</v>
      </c>
      <c r="S651" s="2" t="s">
        <v>38</v>
      </c>
      <c r="T651" s="2" t="s">
        <v>39</v>
      </c>
      <c r="U651" s="2" t="s">
        <v>40</v>
      </c>
      <c r="V651" s="3"/>
    </row>
    <row r="652" spans="1:22">
      <c r="A652" s="2">
        <v>651</v>
      </c>
      <c r="B652" s="3" t="s">
        <v>6429</v>
      </c>
      <c r="C652" s="3" t="s">
        <v>6430</v>
      </c>
      <c r="D652" s="3" t="s">
        <v>6431</v>
      </c>
      <c r="E652" s="2" t="s">
        <v>506</v>
      </c>
      <c r="F652" s="2" t="s">
        <v>43</v>
      </c>
      <c r="G652" s="3" t="s">
        <v>6432</v>
      </c>
      <c r="H652" s="2" t="s">
        <v>6433</v>
      </c>
      <c r="I652" s="3" t="s">
        <v>29</v>
      </c>
      <c r="J652" s="3" t="s">
        <v>5094</v>
      </c>
      <c r="K652" s="3" t="s">
        <v>47</v>
      </c>
      <c r="L652" s="3" t="s">
        <v>48</v>
      </c>
      <c r="M652" s="3" t="s">
        <v>6434</v>
      </c>
      <c r="N652" s="3" t="s">
        <v>6435</v>
      </c>
      <c r="O652" s="3" t="s">
        <v>6436</v>
      </c>
      <c r="P652" s="3" t="s">
        <v>6437</v>
      </c>
      <c r="Q652" s="3" t="s">
        <v>6438</v>
      </c>
      <c r="R652" s="3" t="s">
        <v>6438</v>
      </c>
      <c r="S652" s="2" t="s">
        <v>38</v>
      </c>
      <c r="T652" s="2" t="s">
        <v>39</v>
      </c>
      <c r="U652" s="2" t="s">
        <v>40</v>
      </c>
      <c r="V652" s="3"/>
    </row>
    <row r="653" spans="1:22">
      <c r="A653" s="2">
        <v>652</v>
      </c>
      <c r="B653" s="3" t="s">
        <v>6429</v>
      </c>
      <c r="C653" s="3" t="s">
        <v>6439</v>
      </c>
      <c r="D653" s="3" t="s">
        <v>6440</v>
      </c>
      <c r="E653" s="2" t="s">
        <v>506</v>
      </c>
      <c r="F653" s="2" t="s">
        <v>43</v>
      </c>
      <c r="G653" s="3" t="s">
        <v>6441</v>
      </c>
      <c r="H653" s="2" t="s">
        <v>6442</v>
      </c>
      <c r="I653" s="3" t="s">
        <v>29</v>
      </c>
      <c r="J653" s="3" t="s">
        <v>5294</v>
      </c>
      <c r="K653" s="3" t="s">
        <v>47</v>
      </c>
      <c r="L653" s="3" t="s">
        <v>145</v>
      </c>
      <c r="M653" s="3" t="s">
        <v>6443</v>
      </c>
      <c r="N653" s="3" t="s">
        <v>5359</v>
      </c>
      <c r="O653" s="3" t="s">
        <v>6444</v>
      </c>
      <c r="P653" s="3" t="s">
        <v>6445</v>
      </c>
      <c r="Q653" s="3" t="s">
        <v>6446</v>
      </c>
      <c r="R653" s="3" t="s">
        <v>6446</v>
      </c>
      <c r="S653" s="2" t="s">
        <v>38</v>
      </c>
      <c r="T653" s="2" t="s">
        <v>39</v>
      </c>
      <c r="U653" s="2" t="s">
        <v>40</v>
      </c>
      <c r="V653" s="3"/>
    </row>
    <row r="654" spans="1:22">
      <c r="A654" s="2">
        <v>653</v>
      </c>
      <c r="B654" s="3" t="s">
        <v>6429</v>
      </c>
      <c r="C654" s="3" t="s">
        <v>6447</v>
      </c>
      <c r="D654" s="3" t="s">
        <v>6448</v>
      </c>
      <c r="E654" s="2" t="s">
        <v>81</v>
      </c>
      <c r="F654" s="2" t="s">
        <v>43</v>
      </c>
      <c r="G654" s="3" t="s">
        <v>6449</v>
      </c>
      <c r="H654" s="2" t="s">
        <v>6450</v>
      </c>
      <c r="I654" s="3" t="s">
        <v>29</v>
      </c>
      <c r="J654" s="3" t="s">
        <v>5121</v>
      </c>
      <c r="K654" s="3" t="s">
        <v>47</v>
      </c>
      <c r="L654" s="3" t="s">
        <v>293</v>
      </c>
      <c r="M654" s="3" t="s">
        <v>6451</v>
      </c>
      <c r="N654" s="3" t="s">
        <v>5151</v>
      </c>
      <c r="O654" s="3" t="s">
        <v>6452</v>
      </c>
      <c r="P654" s="3" t="s">
        <v>6453</v>
      </c>
      <c r="Q654" s="3" t="s">
        <v>6454</v>
      </c>
      <c r="R654" s="3" t="s">
        <v>6454</v>
      </c>
      <c r="S654" s="2" t="s">
        <v>38</v>
      </c>
      <c r="T654" s="2" t="s">
        <v>39</v>
      </c>
      <c r="U654" s="2" t="s">
        <v>40</v>
      </c>
      <c r="V654" s="3"/>
    </row>
    <row r="655" spans="1:22">
      <c r="A655" s="2">
        <v>654</v>
      </c>
      <c r="B655" s="3" t="s">
        <v>6429</v>
      </c>
      <c r="C655" s="3" t="s">
        <v>6455</v>
      </c>
      <c r="D655" s="3" t="s">
        <v>6456</v>
      </c>
      <c r="E655" s="2" t="s">
        <v>185</v>
      </c>
      <c r="F655" s="2" t="s">
        <v>43</v>
      </c>
      <c r="G655" s="3" t="s">
        <v>6457</v>
      </c>
      <c r="H655" s="2" t="s">
        <v>6458</v>
      </c>
      <c r="I655" s="3" t="s">
        <v>29</v>
      </c>
      <c r="J655" s="3" t="s">
        <v>5493</v>
      </c>
      <c r="K655" s="3" t="s">
        <v>47</v>
      </c>
      <c r="L655" s="3" t="s">
        <v>145</v>
      </c>
      <c r="M655" s="3" t="s">
        <v>6459</v>
      </c>
      <c r="N655" s="3" t="s">
        <v>5212</v>
      </c>
      <c r="O655" s="3" t="s">
        <v>6460</v>
      </c>
      <c r="P655" s="3" t="s">
        <v>6461</v>
      </c>
      <c r="Q655" s="3" t="s">
        <v>6462</v>
      </c>
      <c r="R655" s="3" t="s">
        <v>6462</v>
      </c>
      <c r="S655" s="2" t="s">
        <v>38</v>
      </c>
      <c r="T655" s="2" t="s">
        <v>39</v>
      </c>
      <c r="U655" s="2" t="s">
        <v>40</v>
      </c>
      <c r="V655" s="3"/>
    </row>
    <row r="656" spans="1:22">
      <c r="A656" s="2">
        <v>655</v>
      </c>
      <c r="B656" s="3" t="s">
        <v>6429</v>
      </c>
      <c r="C656" s="3" t="s">
        <v>6463</v>
      </c>
      <c r="D656" s="3" t="s">
        <v>6464</v>
      </c>
      <c r="E656" s="2" t="s">
        <v>69</v>
      </c>
      <c r="F656" s="2" t="s">
        <v>43</v>
      </c>
      <c r="G656" s="3" t="s">
        <v>6465</v>
      </c>
      <c r="H656" s="2" t="s">
        <v>6466</v>
      </c>
      <c r="I656" s="3" t="s">
        <v>29</v>
      </c>
      <c r="J656" s="3" t="s">
        <v>5064</v>
      </c>
      <c r="K656" s="3" t="s">
        <v>47</v>
      </c>
      <c r="L656" s="3" t="s">
        <v>145</v>
      </c>
      <c r="M656" s="3" t="s">
        <v>5065</v>
      </c>
      <c r="N656" s="3" t="s">
        <v>6467</v>
      </c>
      <c r="O656" s="3" t="s">
        <v>6468</v>
      </c>
      <c r="P656" s="3" t="s">
        <v>6469</v>
      </c>
      <c r="Q656" s="3" t="s">
        <v>6470</v>
      </c>
      <c r="R656" s="3" t="s">
        <v>6470</v>
      </c>
      <c r="S656" s="2" t="s">
        <v>38</v>
      </c>
      <c r="T656" s="2" t="s">
        <v>39</v>
      </c>
      <c r="U656" s="2" t="s">
        <v>40</v>
      </c>
      <c r="V656" s="3"/>
    </row>
    <row r="657" spans="1:22">
      <c r="A657" s="2">
        <v>656</v>
      </c>
      <c r="B657" s="3" t="s">
        <v>6429</v>
      </c>
      <c r="C657" s="3" t="s">
        <v>6471</v>
      </c>
      <c r="D657" s="3" t="s">
        <v>6472</v>
      </c>
      <c r="E657" s="2" t="s">
        <v>206</v>
      </c>
      <c r="F657" s="2" t="s">
        <v>43</v>
      </c>
      <c r="G657" s="3" t="s">
        <v>6473</v>
      </c>
      <c r="H657" s="2" t="s">
        <v>6474</v>
      </c>
      <c r="I657" s="3" t="s">
        <v>29</v>
      </c>
      <c r="J657" s="3" t="s">
        <v>5427</v>
      </c>
      <c r="K657" s="3" t="s">
        <v>47</v>
      </c>
      <c r="L657" s="3" t="s">
        <v>167</v>
      </c>
      <c r="M657" s="3" t="s">
        <v>6475</v>
      </c>
      <c r="N657" s="3" t="s">
        <v>6476</v>
      </c>
      <c r="O657" s="3" t="s">
        <v>6477</v>
      </c>
      <c r="P657" s="3" t="s">
        <v>6478</v>
      </c>
      <c r="Q657" s="3" t="s">
        <v>6479</v>
      </c>
      <c r="R657" s="3" t="s">
        <v>6479</v>
      </c>
      <c r="S657" s="2" t="s">
        <v>38</v>
      </c>
      <c r="T657" s="2" t="s">
        <v>39</v>
      </c>
      <c r="U657" s="2" t="s">
        <v>40</v>
      </c>
      <c r="V657" s="3"/>
    </row>
    <row r="658" spans="1:22">
      <c r="A658" s="2">
        <v>657</v>
      </c>
      <c r="B658" s="3" t="s">
        <v>6429</v>
      </c>
      <c r="C658" s="3" t="s">
        <v>6480</v>
      </c>
      <c r="D658" s="3" t="s">
        <v>6481</v>
      </c>
      <c r="E658" s="2" t="s">
        <v>3096</v>
      </c>
      <c r="F658" s="2" t="s">
        <v>43</v>
      </c>
      <c r="G658" s="3" t="s">
        <v>6482</v>
      </c>
      <c r="H658" s="2" t="s">
        <v>6483</v>
      </c>
      <c r="I658" s="3" t="s">
        <v>29</v>
      </c>
      <c r="J658" s="3" t="s">
        <v>5044</v>
      </c>
      <c r="K658" s="3" t="s">
        <v>47</v>
      </c>
      <c r="L658" s="3" t="s">
        <v>132</v>
      </c>
      <c r="M658" s="3" t="s">
        <v>5656</v>
      </c>
      <c r="N658" s="3" t="s">
        <v>5359</v>
      </c>
      <c r="O658" s="3" t="s">
        <v>6484</v>
      </c>
      <c r="P658" s="3" t="s">
        <v>6485</v>
      </c>
      <c r="Q658" s="3" t="s">
        <v>6486</v>
      </c>
      <c r="R658" s="3" t="s">
        <v>6486</v>
      </c>
      <c r="S658" s="2" t="s">
        <v>38</v>
      </c>
      <c r="T658" s="2" t="s">
        <v>39</v>
      </c>
      <c r="U658" s="2" t="s">
        <v>40</v>
      </c>
      <c r="V658" s="3"/>
    </row>
    <row r="659" spans="1:22">
      <c r="A659" s="2">
        <v>658</v>
      </c>
      <c r="B659" s="3" t="s">
        <v>6429</v>
      </c>
      <c r="C659" s="3" t="s">
        <v>6487</v>
      </c>
      <c r="D659" s="3" t="s">
        <v>6488</v>
      </c>
      <c r="E659" s="2" t="s">
        <v>25</v>
      </c>
      <c r="F659" s="2" t="s">
        <v>43</v>
      </c>
      <c r="G659" s="3" t="s">
        <v>6489</v>
      </c>
      <c r="H659" s="2" t="s">
        <v>6490</v>
      </c>
      <c r="I659" s="3" t="s">
        <v>29</v>
      </c>
      <c r="J659" s="3" t="s">
        <v>5493</v>
      </c>
      <c r="K659" s="3" t="s">
        <v>47</v>
      </c>
      <c r="L659" s="3" t="s">
        <v>145</v>
      </c>
      <c r="M659" s="3" t="s">
        <v>6491</v>
      </c>
      <c r="N659" s="3" t="s">
        <v>5151</v>
      </c>
      <c r="O659" s="3" t="s">
        <v>6492</v>
      </c>
      <c r="P659" s="3" t="s">
        <v>6493</v>
      </c>
      <c r="Q659" s="3" t="s">
        <v>6494</v>
      </c>
      <c r="R659" s="3" t="s">
        <v>6494</v>
      </c>
      <c r="S659" s="2" t="s">
        <v>38</v>
      </c>
      <c r="T659" s="2" t="s">
        <v>39</v>
      </c>
      <c r="U659" s="2" t="s">
        <v>40</v>
      </c>
      <c r="V659" s="3"/>
    </row>
    <row r="660" spans="1:22">
      <c r="A660" s="2">
        <v>659</v>
      </c>
      <c r="B660" s="3" t="s">
        <v>6429</v>
      </c>
      <c r="C660" s="3" t="s">
        <v>6495</v>
      </c>
      <c r="D660" s="3" t="s">
        <v>6496</v>
      </c>
      <c r="E660" s="2" t="s">
        <v>116</v>
      </c>
      <c r="F660" s="2" t="s">
        <v>43</v>
      </c>
      <c r="G660" s="3" t="s">
        <v>6497</v>
      </c>
      <c r="H660" s="2" t="s">
        <v>6498</v>
      </c>
      <c r="I660" s="3" t="s">
        <v>29</v>
      </c>
      <c r="J660" s="3" t="s">
        <v>5094</v>
      </c>
      <c r="K660" s="3" t="s">
        <v>47</v>
      </c>
      <c r="L660" s="3" t="s">
        <v>145</v>
      </c>
      <c r="M660" s="3" t="s">
        <v>6499</v>
      </c>
      <c r="N660" s="3" t="s">
        <v>6500</v>
      </c>
      <c r="O660" s="3" t="s">
        <v>6501</v>
      </c>
      <c r="P660" s="3" t="s">
        <v>6502</v>
      </c>
      <c r="Q660" s="3" t="s">
        <v>6503</v>
      </c>
      <c r="R660" s="3" t="s">
        <v>6503</v>
      </c>
      <c r="S660" s="2" t="s">
        <v>38</v>
      </c>
      <c r="T660" s="2" t="s">
        <v>39</v>
      </c>
      <c r="U660" s="2" t="s">
        <v>40</v>
      </c>
      <c r="V660" s="3"/>
    </row>
    <row r="661" spans="1:22">
      <c r="A661" s="2">
        <v>660</v>
      </c>
      <c r="B661" s="3" t="s">
        <v>6429</v>
      </c>
      <c r="C661" s="3" t="s">
        <v>6504</v>
      </c>
      <c r="D661" s="3" t="s">
        <v>6505</v>
      </c>
      <c r="E661" s="2" t="s">
        <v>56</v>
      </c>
      <c r="F661" s="2" t="s">
        <v>43</v>
      </c>
      <c r="G661" s="3" t="s">
        <v>6506</v>
      </c>
      <c r="H661" s="2" t="s">
        <v>6507</v>
      </c>
      <c r="I661" s="3" t="s">
        <v>29</v>
      </c>
      <c r="J661" s="3" t="s">
        <v>5159</v>
      </c>
      <c r="K661" s="3" t="s">
        <v>47</v>
      </c>
      <c r="L661" s="3" t="s">
        <v>145</v>
      </c>
      <c r="M661" s="3" t="s">
        <v>6508</v>
      </c>
      <c r="N661" s="3" t="s">
        <v>5591</v>
      </c>
      <c r="O661" s="3" t="s">
        <v>6509</v>
      </c>
      <c r="P661" s="3" t="s">
        <v>6510</v>
      </c>
      <c r="Q661" s="3" t="s">
        <v>6511</v>
      </c>
      <c r="R661" s="3" t="s">
        <v>6511</v>
      </c>
      <c r="S661" s="2" t="s">
        <v>38</v>
      </c>
      <c r="T661" s="2" t="s">
        <v>39</v>
      </c>
      <c r="U661" s="2" t="s">
        <v>40</v>
      </c>
      <c r="V661" s="3"/>
    </row>
    <row r="662" spans="1:22">
      <c r="A662" s="2">
        <v>661</v>
      </c>
      <c r="B662" s="3" t="s">
        <v>6429</v>
      </c>
      <c r="C662" s="3" t="s">
        <v>6512</v>
      </c>
      <c r="D662" s="3" t="s">
        <v>6513</v>
      </c>
      <c r="E662" s="2" t="s">
        <v>506</v>
      </c>
      <c r="F662" s="2" t="s">
        <v>43</v>
      </c>
      <c r="G662" s="3" t="s">
        <v>6514</v>
      </c>
      <c r="H662" s="2" t="s">
        <v>6515</v>
      </c>
      <c r="I662" s="3" t="s">
        <v>29</v>
      </c>
      <c r="J662" s="3" t="s">
        <v>6516</v>
      </c>
      <c r="K662" s="3" t="s">
        <v>47</v>
      </c>
      <c r="L662" s="3" t="s">
        <v>167</v>
      </c>
      <c r="M662" s="3" t="s">
        <v>6517</v>
      </c>
      <c r="N662" s="3" t="s">
        <v>6518</v>
      </c>
      <c r="O662" s="3" t="s">
        <v>6519</v>
      </c>
      <c r="P662" s="3" t="s">
        <v>6520</v>
      </c>
      <c r="Q662" s="3" t="s">
        <v>6521</v>
      </c>
      <c r="R662" s="3" t="s">
        <v>6521</v>
      </c>
      <c r="S662" s="2" t="s">
        <v>38</v>
      </c>
      <c r="T662" s="2" t="s">
        <v>39</v>
      </c>
      <c r="U662" s="2" t="s">
        <v>40</v>
      </c>
      <c r="V662" s="3"/>
    </row>
    <row r="663" spans="1:22">
      <c r="A663" s="2">
        <v>662</v>
      </c>
      <c r="B663" s="3" t="s">
        <v>6429</v>
      </c>
      <c r="C663" s="3" t="s">
        <v>6522</v>
      </c>
      <c r="D663" s="3" t="s">
        <v>6523</v>
      </c>
      <c r="E663" s="2" t="s">
        <v>185</v>
      </c>
      <c r="F663" s="2" t="s">
        <v>43</v>
      </c>
      <c r="G663" s="3" t="s">
        <v>6524</v>
      </c>
      <c r="H663" s="2" t="s">
        <v>6525</v>
      </c>
      <c r="I663" s="3" t="s">
        <v>29</v>
      </c>
      <c r="J663" s="3" t="s">
        <v>5094</v>
      </c>
      <c r="K663" s="3" t="s">
        <v>47</v>
      </c>
      <c r="L663" s="3" t="s">
        <v>48</v>
      </c>
      <c r="M663" s="3" t="s">
        <v>48</v>
      </c>
      <c r="N663" s="3" t="s">
        <v>6526</v>
      </c>
      <c r="O663" s="3" t="s">
        <v>6527</v>
      </c>
      <c r="P663" s="3" t="s">
        <v>6528</v>
      </c>
      <c r="Q663" s="3" t="s">
        <v>6529</v>
      </c>
      <c r="R663" s="3" t="s">
        <v>6529</v>
      </c>
      <c r="S663" s="2" t="s">
        <v>38</v>
      </c>
      <c r="T663" s="2" t="s">
        <v>39</v>
      </c>
      <c r="U663" s="2" t="s">
        <v>40</v>
      </c>
      <c r="V663" s="3"/>
    </row>
    <row r="664" spans="1:22">
      <c r="A664" s="2">
        <v>663</v>
      </c>
      <c r="B664" s="3" t="s">
        <v>6429</v>
      </c>
      <c r="C664" s="3" t="s">
        <v>6530</v>
      </c>
      <c r="D664" s="3" t="s">
        <v>6531</v>
      </c>
      <c r="E664" s="2" t="s">
        <v>383</v>
      </c>
      <c r="F664" s="2" t="s">
        <v>43</v>
      </c>
      <c r="G664" s="3" t="s">
        <v>6532</v>
      </c>
      <c r="H664" s="2" t="s">
        <v>6533</v>
      </c>
      <c r="I664" s="3" t="s">
        <v>29</v>
      </c>
      <c r="J664" s="3" t="s">
        <v>5418</v>
      </c>
      <c r="K664" s="3" t="s">
        <v>47</v>
      </c>
      <c r="L664" s="3" t="s">
        <v>167</v>
      </c>
      <c r="M664" s="3" t="s">
        <v>6534</v>
      </c>
      <c r="N664" s="3" t="s">
        <v>5151</v>
      </c>
      <c r="O664" s="3" t="s">
        <v>6535</v>
      </c>
      <c r="P664" s="3" t="s">
        <v>6536</v>
      </c>
      <c r="Q664" s="3" t="s">
        <v>6537</v>
      </c>
      <c r="R664" s="3" t="s">
        <v>6537</v>
      </c>
      <c r="S664" s="2" t="s">
        <v>38</v>
      </c>
      <c r="T664" s="2" t="s">
        <v>39</v>
      </c>
      <c r="U664" s="2" t="s">
        <v>40</v>
      </c>
      <c r="V664" s="3"/>
    </row>
    <row r="665" spans="1:22">
      <c r="A665" s="2">
        <v>664</v>
      </c>
      <c r="B665" s="3" t="s">
        <v>6429</v>
      </c>
      <c r="C665" s="3" t="s">
        <v>6538</v>
      </c>
      <c r="D665" s="3" t="s">
        <v>6539</v>
      </c>
      <c r="E665" s="2" t="s">
        <v>81</v>
      </c>
      <c r="F665" s="2" t="s">
        <v>43</v>
      </c>
      <c r="G665" s="3" t="s">
        <v>6540</v>
      </c>
      <c r="H665" s="2" t="s">
        <v>6541</v>
      </c>
      <c r="I665" s="3" t="s">
        <v>29</v>
      </c>
      <c r="J665" s="3" t="s">
        <v>6516</v>
      </c>
      <c r="K665" s="3" t="s">
        <v>47</v>
      </c>
      <c r="L665" s="3" t="s">
        <v>145</v>
      </c>
      <c r="M665" s="3" t="s">
        <v>5132</v>
      </c>
      <c r="N665" s="3" t="s">
        <v>6542</v>
      </c>
      <c r="O665" s="3" t="s">
        <v>6543</v>
      </c>
      <c r="P665" s="3" t="s">
        <v>6544</v>
      </c>
      <c r="Q665" s="3" t="s">
        <v>6545</v>
      </c>
      <c r="R665" s="3" t="s">
        <v>6545</v>
      </c>
      <c r="S665" s="2" t="s">
        <v>38</v>
      </c>
      <c r="T665" s="2" t="s">
        <v>39</v>
      </c>
      <c r="U665" s="2" t="s">
        <v>40</v>
      </c>
      <c r="V665" s="3"/>
    </row>
    <row r="666" spans="1:22">
      <c r="A666" s="2">
        <v>665</v>
      </c>
      <c r="B666" s="3" t="s">
        <v>6429</v>
      </c>
      <c r="C666" s="3" t="s">
        <v>6546</v>
      </c>
      <c r="D666" s="3" t="s">
        <v>6547</v>
      </c>
      <c r="E666" s="2" t="s">
        <v>621</v>
      </c>
      <c r="F666" s="2" t="s">
        <v>43</v>
      </c>
      <c r="G666" s="3" t="s">
        <v>6548</v>
      </c>
      <c r="H666" s="2" t="s">
        <v>6549</v>
      </c>
      <c r="I666" s="3" t="s">
        <v>29</v>
      </c>
      <c r="J666" s="3" t="s">
        <v>5044</v>
      </c>
      <c r="K666" s="3" t="s">
        <v>47</v>
      </c>
      <c r="L666" s="3" t="s">
        <v>145</v>
      </c>
      <c r="M666" s="3" t="s">
        <v>6550</v>
      </c>
      <c r="N666" s="3" t="s">
        <v>5648</v>
      </c>
      <c r="O666" s="3" t="s">
        <v>6551</v>
      </c>
      <c r="P666" s="3" t="s">
        <v>6552</v>
      </c>
      <c r="Q666" s="3" t="s">
        <v>6553</v>
      </c>
      <c r="R666" s="3" t="s">
        <v>6553</v>
      </c>
      <c r="S666" s="2" t="s">
        <v>38</v>
      </c>
      <c r="T666" s="2" t="s">
        <v>39</v>
      </c>
      <c r="U666" s="2" t="s">
        <v>40</v>
      </c>
      <c r="V666" s="3"/>
    </row>
    <row r="667" spans="1:22">
      <c r="A667" s="2">
        <v>666</v>
      </c>
      <c r="B667" s="3" t="s">
        <v>6429</v>
      </c>
      <c r="C667" s="3" t="s">
        <v>6554</v>
      </c>
      <c r="D667" s="3" t="s">
        <v>6555</v>
      </c>
      <c r="E667" s="2" t="s">
        <v>257</v>
      </c>
      <c r="F667" s="2" t="s">
        <v>43</v>
      </c>
      <c r="G667" s="3" t="s">
        <v>6556</v>
      </c>
      <c r="H667" s="2" t="s">
        <v>6557</v>
      </c>
      <c r="I667" s="3" t="s">
        <v>29</v>
      </c>
      <c r="J667" s="3" t="s">
        <v>5044</v>
      </c>
      <c r="K667" s="3" t="s">
        <v>47</v>
      </c>
      <c r="L667" s="3" t="s">
        <v>145</v>
      </c>
      <c r="M667" s="3" t="s">
        <v>6359</v>
      </c>
      <c r="N667" s="3" t="s">
        <v>5648</v>
      </c>
      <c r="O667" s="3" t="s">
        <v>6558</v>
      </c>
      <c r="P667" s="3" t="s">
        <v>6559</v>
      </c>
      <c r="Q667" s="3" t="s">
        <v>6560</v>
      </c>
      <c r="R667" s="3" t="s">
        <v>6560</v>
      </c>
      <c r="S667" s="2" t="s">
        <v>38</v>
      </c>
      <c r="T667" s="2" t="s">
        <v>39</v>
      </c>
      <c r="U667" s="2" t="s">
        <v>40</v>
      </c>
      <c r="V667" s="3"/>
    </row>
    <row r="668" spans="1:22">
      <c r="A668" s="2">
        <v>667</v>
      </c>
      <c r="B668" s="3" t="s">
        <v>6429</v>
      </c>
      <c r="C668" s="3" t="s">
        <v>6561</v>
      </c>
      <c r="D668" s="3" t="s">
        <v>6562</v>
      </c>
      <c r="E668" s="2" t="s">
        <v>56</v>
      </c>
      <c r="F668" s="2" t="s">
        <v>43</v>
      </c>
      <c r="G668" s="3" t="s">
        <v>6563</v>
      </c>
      <c r="H668" s="2" t="s">
        <v>6564</v>
      </c>
      <c r="I668" s="3" t="s">
        <v>29</v>
      </c>
      <c r="J668" s="3" t="s">
        <v>5044</v>
      </c>
      <c r="K668" s="3" t="s">
        <v>47</v>
      </c>
      <c r="L668" s="3" t="s">
        <v>145</v>
      </c>
      <c r="M668" s="3" t="s">
        <v>6359</v>
      </c>
      <c r="N668" s="3" t="s">
        <v>6565</v>
      </c>
      <c r="O668" s="3" t="s">
        <v>6566</v>
      </c>
      <c r="P668" s="3" t="s">
        <v>6567</v>
      </c>
      <c r="Q668" s="3" t="s">
        <v>6568</v>
      </c>
      <c r="R668" s="3" t="s">
        <v>6568</v>
      </c>
      <c r="S668" s="2" t="s">
        <v>38</v>
      </c>
      <c r="T668" s="2" t="s">
        <v>39</v>
      </c>
      <c r="U668" s="2" t="s">
        <v>40</v>
      </c>
      <c r="V668" s="3"/>
    </row>
    <row r="669" spans="1:22">
      <c r="A669" s="2">
        <v>668</v>
      </c>
      <c r="B669" s="3" t="s">
        <v>6429</v>
      </c>
      <c r="C669" s="3" t="s">
        <v>6569</v>
      </c>
      <c r="D669" s="3" t="s">
        <v>6570</v>
      </c>
      <c r="E669" s="2" t="s">
        <v>56</v>
      </c>
      <c r="F669" s="2" t="s">
        <v>43</v>
      </c>
      <c r="G669" s="3" t="s">
        <v>6571</v>
      </c>
      <c r="H669" s="2" t="s">
        <v>6572</v>
      </c>
      <c r="I669" s="3" t="s">
        <v>29</v>
      </c>
      <c r="J669" s="3" t="s">
        <v>6573</v>
      </c>
      <c r="K669" s="3" t="s">
        <v>47</v>
      </c>
      <c r="L669" s="3" t="s">
        <v>145</v>
      </c>
      <c r="M669" s="3" t="s">
        <v>6574</v>
      </c>
      <c r="N669" s="3" t="s">
        <v>6575</v>
      </c>
      <c r="O669" s="3" t="s">
        <v>6576</v>
      </c>
      <c r="P669" s="3" t="s">
        <v>6577</v>
      </c>
      <c r="Q669" s="3" t="s">
        <v>6578</v>
      </c>
      <c r="R669" s="3" t="s">
        <v>6578</v>
      </c>
      <c r="S669" s="2" t="s">
        <v>38</v>
      </c>
      <c r="T669" s="2" t="s">
        <v>39</v>
      </c>
      <c r="U669" s="2" t="s">
        <v>40</v>
      </c>
      <c r="V669" s="3"/>
    </row>
    <row r="670" spans="1:22">
      <c r="A670" s="2">
        <v>669</v>
      </c>
      <c r="B670" s="3" t="s">
        <v>6429</v>
      </c>
      <c r="C670" s="3" t="s">
        <v>6579</v>
      </c>
      <c r="D670" s="3" t="s">
        <v>6580</v>
      </c>
      <c r="E670" s="2" t="s">
        <v>116</v>
      </c>
      <c r="F670" s="2" t="s">
        <v>43</v>
      </c>
      <c r="G670" s="3" t="s">
        <v>6581</v>
      </c>
      <c r="H670" s="2" t="s">
        <v>6582</v>
      </c>
      <c r="I670" s="3" t="s">
        <v>29</v>
      </c>
      <c r="J670" s="3" t="s">
        <v>5427</v>
      </c>
      <c r="K670" s="3" t="s">
        <v>47</v>
      </c>
      <c r="L670" s="3" t="s">
        <v>32</v>
      </c>
      <c r="M670" s="3" t="s">
        <v>5285</v>
      </c>
      <c r="N670" s="3" t="s">
        <v>6583</v>
      </c>
      <c r="O670" s="3" t="s">
        <v>6584</v>
      </c>
      <c r="P670" s="3" t="s">
        <v>6585</v>
      </c>
      <c r="Q670" s="3" t="s">
        <v>6586</v>
      </c>
      <c r="R670" s="3" t="s">
        <v>6586</v>
      </c>
      <c r="S670" s="2" t="s">
        <v>38</v>
      </c>
      <c r="T670" s="2" t="s">
        <v>39</v>
      </c>
      <c r="U670" s="2" t="s">
        <v>40</v>
      </c>
      <c r="V670" s="3"/>
    </row>
    <row r="671" spans="1:22">
      <c r="A671" s="2">
        <v>670</v>
      </c>
      <c r="B671" s="3" t="s">
        <v>6429</v>
      </c>
      <c r="C671" s="3" t="s">
        <v>6587</v>
      </c>
      <c r="D671" s="3" t="s">
        <v>6588</v>
      </c>
      <c r="E671" s="2" t="s">
        <v>773</v>
      </c>
      <c r="F671" s="2" t="s">
        <v>43</v>
      </c>
      <c r="G671" s="3" t="s">
        <v>6589</v>
      </c>
      <c r="H671" s="2" t="s">
        <v>6590</v>
      </c>
      <c r="I671" s="3" t="s">
        <v>29</v>
      </c>
      <c r="J671" s="3" t="s">
        <v>5169</v>
      </c>
      <c r="K671" s="3" t="s">
        <v>47</v>
      </c>
      <c r="L671" s="3" t="s">
        <v>293</v>
      </c>
      <c r="M671" s="3" t="s">
        <v>5313</v>
      </c>
      <c r="N671" s="3" t="s">
        <v>6591</v>
      </c>
      <c r="O671" s="3" t="s">
        <v>6592</v>
      </c>
      <c r="P671" s="3" t="s">
        <v>6593</v>
      </c>
      <c r="Q671" s="3" t="s">
        <v>6594</v>
      </c>
      <c r="R671" s="3" t="s">
        <v>6594</v>
      </c>
      <c r="S671" s="2" t="s">
        <v>38</v>
      </c>
      <c r="T671" s="2" t="s">
        <v>39</v>
      </c>
      <c r="U671" s="2" t="s">
        <v>40</v>
      </c>
      <c r="V671" s="3"/>
    </row>
    <row r="672" spans="1:22">
      <c r="A672" s="2">
        <v>671</v>
      </c>
      <c r="B672" s="3" t="s">
        <v>6429</v>
      </c>
      <c r="C672" s="3" t="s">
        <v>6595</v>
      </c>
      <c r="D672" s="3" t="s">
        <v>6596</v>
      </c>
      <c r="E672" s="2" t="s">
        <v>206</v>
      </c>
      <c r="F672" s="2" t="s">
        <v>43</v>
      </c>
      <c r="G672" s="3" t="s">
        <v>6597</v>
      </c>
      <c r="H672" s="2" t="s">
        <v>6598</v>
      </c>
      <c r="I672" s="3" t="s">
        <v>29</v>
      </c>
      <c r="J672" s="3" t="s">
        <v>5159</v>
      </c>
      <c r="K672" s="3" t="s">
        <v>47</v>
      </c>
      <c r="L672" s="3" t="s">
        <v>145</v>
      </c>
      <c r="M672" s="3" t="s">
        <v>5285</v>
      </c>
      <c r="N672" s="3" t="s">
        <v>5212</v>
      </c>
      <c r="O672" s="3" t="s">
        <v>6599</v>
      </c>
      <c r="P672" s="3" t="s">
        <v>6600</v>
      </c>
      <c r="Q672" s="3" t="s">
        <v>6601</v>
      </c>
      <c r="R672" s="3" t="s">
        <v>6601</v>
      </c>
      <c r="S672" s="2" t="s">
        <v>38</v>
      </c>
      <c r="T672" s="2" t="s">
        <v>39</v>
      </c>
      <c r="U672" s="2" t="s">
        <v>40</v>
      </c>
      <c r="V672" s="3"/>
    </row>
    <row r="673" spans="1:22">
      <c r="A673" s="2">
        <v>672</v>
      </c>
      <c r="B673" s="3" t="s">
        <v>6429</v>
      </c>
      <c r="C673" s="3" t="s">
        <v>6602</v>
      </c>
      <c r="D673" s="3" t="s">
        <v>6603</v>
      </c>
      <c r="E673" s="2" t="s">
        <v>537</v>
      </c>
      <c r="F673" s="2" t="s">
        <v>43</v>
      </c>
      <c r="G673" s="3" t="s">
        <v>6604</v>
      </c>
      <c r="H673" s="2" t="s">
        <v>6605</v>
      </c>
      <c r="I673" s="3" t="s">
        <v>29</v>
      </c>
      <c r="J673" s="3" t="s">
        <v>5322</v>
      </c>
      <c r="K673" s="3" t="s">
        <v>47</v>
      </c>
      <c r="L673" s="3" t="s">
        <v>167</v>
      </c>
      <c r="M673" s="3" t="s">
        <v>6606</v>
      </c>
      <c r="N673" s="3" t="s">
        <v>5151</v>
      </c>
      <c r="O673" s="3" t="s">
        <v>6607</v>
      </c>
      <c r="P673" s="3" t="s">
        <v>6608</v>
      </c>
      <c r="Q673" s="3" t="s">
        <v>6609</v>
      </c>
      <c r="R673" s="3" t="s">
        <v>6609</v>
      </c>
      <c r="S673" s="2" t="s">
        <v>38</v>
      </c>
      <c r="T673" s="2" t="s">
        <v>39</v>
      </c>
      <c r="U673" s="2" t="s">
        <v>40</v>
      </c>
      <c r="V673" s="3"/>
    </row>
    <row r="674" spans="1:22">
      <c r="A674" s="2">
        <v>673</v>
      </c>
      <c r="B674" s="3" t="s">
        <v>6429</v>
      </c>
      <c r="C674" s="3" t="s">
        <v>6610</v>
      </c>
      <c r="D674" s="3" t="s">
        <v>6611</v>
      </c>
      <c r="E674" s="2" t="s">
        <v>103</v>
      </c>
      <c r="F674" s="2" t="s">
        <v>43</v>
      </c>
      <c r="G674" s="3" t="s">
        <v>6612</v>
      </c>
      <c r="H674" s="2" t="s">
        <v>6613</v>
      </c>
      <c r="I674" s="3" t="s">
        <v>29</v>
      </c>
      <c r="J674" s="3" t="s">
        <v>5322</v>
      </c>
      <c r="K674" s="3" t="s">
        <v>47</v>
      </c>
      <c r="L674" s="3" t="s">
        <v>32</v>
      </c>
      <c r="M674" s="3" t="s">
        <v>5285</v>
      </c>
      <c r="N674" s="3" t="s">
        <v>6614</v>
      </c>
      <c r="O674" s="3" t="s">
        <v>6615</v>
      </c>
      <c r="P674" s="3" t="s">
        <v>6616</v>
      </c>
      <c r="Q674" s="3" t="s">
        <v>6617</v>
      </c>
      <c r="R674" s="3" t="s">
        <v>6617</v>
      </c>
      <c r="S674" s="2" t="s">
        <v>38</v>
      </c>
      <c r="T674" s="2" t="s">
        <v>39</v>
      </c>
      <c r="U674" s="2" t="s">
        <v>40</v>
      </c>
      <c r="V674" s="3"/>
    </row>
    <row r="675" spans="1:22">
      <c r="A675" s="2">
        <v>674</v>
      </c>
      <c r="B675" s="3" t="s">
        <v>6429</v>
      </c>
      <c r="C675" s="3" t="s">
        <v>6618</v>
      </c>
      <c r="D675" s="3" t="s">
        <v>6619</v>
      </c>
      <c r="E675" s="2" t="s">
        <v>1017</v>
      </c>
      <c r="F675" s="2" t="s">
        <v>43</v>
      </c>
      <c r="G675" s="3" t="s">
        <v>6620</v>
      </c>
      <c r="H675" s="2" t="s">
        <v>6621</v>
      </c>
      <c r="I675" s="3" t="s">
        <v>29</v>
      </c>
      <c r="J675" s="3" t="s">
        <v>106</v>
      </c>
      <c r="K675" s="3" t="s">
        <v>47</v>
      </c>
      <c r="L675" s="3" t="s">
        <v>32</v>
      </c>
      <c r="M675" s="3" t="s">
        <v>6622</v>
      </c>
      <c r="N675" s="3" t="s">
        <v>6623</v>
      </c>
      <c r="O675" s="3" t="s">
        <v>6624</v>
      </c>
      <c r="P675" s="3" t="s">
        <v>6625</v>
      </c>
      <c r="Q675" s="3" t="s">
        <v>6626</v>
      </c>
      <c r="R675" s="3" t="s">
        <v>6626</v>
      </c>
      <c r="S675" s="2" t="s">
        <v>38</v>
      </c>
      <c r="T675" s="2" t="s">
        <v>39</v>
      </c>
      <c r="U675" s="2" t="s">
        <v>40</v>
      </c>
      <c r="V675" s="3"/>
    </row>
    <row r="676" spans="1:22">
      <c r="A676" s="2">
        <v>675</v>
      </c>
      <c r="B676" s="3" t="s">
        <v>6429</v>
      </c>
      <c r="C676" s="3" t="s">
        <v>6627</v>
      </c>
      <c r="D676" s="3" t="s">
        <v>6628</v>
      </c>
      <c r="E676" s="2" t="s">
        <v>56</v>
      </c>
      <c r="F676" s="2" t="s">
        <v>43</v>
      </c>
      <c r="G676" s="3" t="s">
        <v>6629</v>
      </c>
      <c r="H676" s="2" t="s">
        <v>6630</v>
      </c>
      <c r="I676" s="3" t="s">
        <v>29</v>
      </c>
      <c r="J676" s="3" t="s">
        <v>5255</v>
      </c>
      <c r="K676" s="3" t="s">
        <v>47</v>
      </c>
      <c r="L676" s="3" t="s">
        <v>293</v>
      </c>
      <c r="M676" s="3" t="s">
        <v>6631</v>
      </c>
      <c r="N676" s="3" t="s">
        <v>6632</v>
      </c>
      <c r="O676" s="3" t="s">
        <v>6633</v>
      </c>
      <c r="P676" s="3" t="s">
        <v>6634</v>
      </c>
      <c r="Q676" s="3" t="s">
        <v>6635</v>
      </c>
      <c r="R676" s="3" t="s">
        <v>6635</v>
      </c>
      <c r="S676" s="2" t="s">
        <v>38</v>
      </c>
      <c r="T676" s="2" t="s">
        <v>39</v>
      </c>
      <c r="U676" s="2" t="s">
        <v>40</v>
      </c>
      <c r="V676" s="3"/>
    </row>
    <row r="677" spans="1:22">
      <c r="A677" s="2">
        <v>676</v>
      </c>
      <c r="B677" s="3" t="s">
        <v>6429</v>
      </c>
      <c r="C677" s="3" t="s">
        <v>6636</v>
      </c>
      <c r="D677" s="3" t="s">
        <v>6637</v>
      </c>
      <c r="E677" s="2" t="s">
        <v>257</v>
      </c>
      <c r="F677" s="2" t="s">
        <v>43</v>
      </c>
      <c r="G677" s="3" t="s">
        <v>6638</v>
      </c>
      <c r="H677" s="2" t="s">
        <v>6639</v>
      </c>
      <c r="I677" s="3" t="s">
        <v>29</v>
      </c>
      <c r="J677" s="3" t="s">
        <v>5044</v>
      </c>
      <c r="K677" s="3" t="s">
        <v>47</v>
      </c>
      <c r="L677" s="3" t="s">
        <v>293</v>
      </c>
      <c r="M677" s="3" t="s">
        <v>6640</v>
      </c>
      <c r="N677" s="3" t="s">
        <v>5212</v>
      </c>
      <c r="O677" s="3" t="s">
        <v>6641</v>
      </c>
      <c r="P677" s="3" t="s">
        <v>6642</v>
      </c>
      <c r="Q677" s="3" t="s">
        <v>6643</v>
      </c>
      <c r="R677" s="3" t="s">
        <v>6643</v>
      </c>
      <c r="S677" s="2" t="s">
        <v>38</v>
      </c>
      <c r="T677" s="2" t="s">
        <v>39</v>
      </c>
      <c r="U677" s="2" t="s">
        <v>40</v>
      </c>
      <c r="V677" s="3"/>
    </row>
    <row r="678" spans="1:22">
      <c r="A678" s="2">
        <v>677</v>
      </c>
      <c r="B678" s="3" t="s">
        <v>6429</v>
      </c>
      <c r="C678" s="3" t="s">
        <v>6644</v>
      </c>
      <c r="D678" s="3" t="s">
        <v>6645</v>
      </c>
      <c r="E678" s="2" t="s">
        <v>257</v>
      </c>
      <c r="F678" s="2" t="s">
        <v>26</v>
      </c>
      <c r="G678" s="3" t="s">
        <v>6646</v>
      </c>
      <c r="H678" s="2" t="s">
        <v>6647</v>
      </c>
      <c r="I678" s="3" t="s">
        <v>29</v>
      </c>
      <c r="J678" s="3" t="s">
        <v>5111</v>
      </c>
      <c r="K678" s="3" t="s">
        <v>47</v>
      </c>
      <c r="L678" s="3" t="s">
        <v>323</v>
      </c>
      <c r="M678" s="3" t="s">
        <v>5582</v>
      </c>
      <c r="N678" s="3" t="s">
        <v>6648</v>
      </c>
      <c r="O678" s="3" t="s">
        <v>6649</v>
      </c>
      <c r="P678" s="3" t="s">
        <v>6650</v>
      </c>
      <c r="Q678" s="3" t="s">
        <v>6651</v>
      </c>
      <c r="R678" s="3" t="s">
        <v>6651</v>
      </c>
      <c r="S678" s="2" t="s">
        <v>38</v>
      </c>
      <c r="T678" s="2" t="s">
        <v>39</v>
      </c>
      <c r="U678" s="2" t="s">
        <v>40</v>
      </c>
      <c r="V678" s="3"/>
    </row>
    <row r="679" spans="1:22">
      <c r="A679" s="2">
        <v>678</v>
      </c>
      <c r="B679" s="3" t="s">
        <v>6429</v>
      </c>
      <c r="C679" s="3" t="s">
        <v>6652</v>
      </c>
      <c r="D679" s="3" t="s">
        <v>6653</v>
      </c>
      <c r="E679" s="2" t="s">
        <v>103</v>
      </c>
      <c r="F679" s="2" t="s">
        <v>26</v>
      </c>
      <c r="G679" s="3" t="s">
        <v>6654</v>
      </c>
      <c r="H679" s="2" t="s">
        <v>6655</v>
      </c>
      <c r="I679" s="3" t="s">
        <v>29</v>
      </c>
      <c r="J679" s="3" t="s">
        <v>5111</v>
      </c>
      <c r="K679" s="3" t="s">
        <v>47</v>
      </c>
      <c r="L679" s="3" t="s">
        <v>167</v>
      </c>
      <c r="M679" s="3" t="s">
        <v>6656</v>
      </c>
      <c r="N679" s="3" t="s">
        <v>6657</v>
      </c>
      <c r="O679" s="3" t="s">
        <v>6658</v>
      </c>
      <c r="P679" s="3" t="s">
        <v>6659</v>
      </c>
      <c r="Q679" s="3" t="s">
        <v>6660</v>
      </c>
      <c r="R679" s="3" t="s">
        <v>6660</v>
      </c>
      <c r="S679" s="2" t="s">
        <v>38</v>
      </c>
      <c r="T679" s="2" t="s">
        <v>39</v>
      </c>
      <c r="U679" s="2" t="s">
        <v>40</v>
      </c>
      <c r="V679" s="3"/>
    </row>
    <row r="680" spans="1:22">
      <c r="A680" s="2">
        <v>679</v>
      </c>
      <c r="B680" s="3" t="s">
        <v>6429</v>
      </c>
      <c r="C680" s="3" t="s">
        <v>6661</v>
      </c>
      <c r="D680" s="3" t="s">
        <v>6662</v>
      </c>
      <c r="E680" s="2" t="s">
        <v>404</v>
      </c>
      <c r="F680" s="2" t="s">
        <v>26</v>
      </c>
      <c r="G680" s="3" t="s">
        <v>6663</v>
      </c>
      <c r="H680" s="2" t="s">
        <v>6664</v>
      </c>
      <c r="I680" s="3" t="s">
        <v>29</v>
      </c>
      <c r="J680" s="3" t="s">
        <v>5159</v>
      </c>
      <c r="K680" s="3" t="s">
        <v>47</v>
      </c>
      <c r="L680" s="3" t="s">
        <v>167</v>
      </c>
      <c r="M680" s="3" t="s">
        <v>6665</v>
      </c>
      <c r="N680" s="3" t="s">
        <v>3280</v>
      </c>
      <c r="O680" s="3" t="s">
        <v>6666</v>
      </c>
      <c r="P680" s="3" t="s">
        <v>6667</v>
      </c>
      <c r="Q680" s="3" t="s">
        <v>6668</v>
      </c>
      <c r="R680" s="3" t="s">
        <v>6668</v>
      </c>
      <c r="S680" s="2" t="s">
        <v>38</v>
      </c>
      <c r="T680" s="2" t="s">
        <v>39</v>
      </c>
      <c r="U680" s="2" t="s">
        <v>40</v>
      </c>
      <c r="V680" s="3"/>
    </row>
    <row r="681" spans="1:22">
      <c r="A681" s="2">
        <v>680</v>
      </c>
      <c r="B681" s="3" t="s">
        <v>6429</v>
      </c>
      <c r="C681" s="3" t="s">
        <v>6669</v>
      </c>
      <c r="D681" s="3" t="s">
        <v>6670</v>
      </c>
      <c r="E681" s="2" t="s">
        <v>56</v>
      </c>
      <c r="F681" s="2" t="s">
        <v>26</v>
      </c>
      <c r="G681" s="3" t="s">
        <v>6671</v>
      </c>
      <c r="H681" s="2" t="s">
        <v>6672</v>
      </c>
      <c r="I681" s="3" t="s">
        <v>29</v>
      </c>
      <c r="J681" s="3" t="s">
        <v>5493</v>
      </c>
      <c r="K681" s="3" t="s">
        <v>47</v>
      </c>
      <c r="L681" s="3" t="s">
        <v>323</v>
      </c>
      <c r="M681" s="3" t="s">
        <v>6673</v>
      </c>
      <c r="N681" s="3" t="s">
        <v>6674</v>
      </c>
      <c r="O681" s="3" t="s">
        <v>6675</v>
      </c>
      <c r="P681" s="3" t="s">
        <v>6676</v>
      </c>
      <c r="Q681" s="3" t="s">
        <v>6677</v>
      </c>
      <c r="R681" s="3" t="s">
        <v>6677</v>
      </c>
      <c r="S681" s="2" t="s">
        <v>38</v>
      </c>
      <c r="T681" s="2" t="s">
        <v>39</v>
      </c>
      <c r="U681" s="2" t="s">
        <v>40</v>
      </c>
      <c r="V681" s="3"/>
    </row>
    <row r="682" spans="1:22">
      <c r="A682" s="2">
        <v>681</v>
      </c>
      <c r="B682" s="3" t="s">
        <v>6429</v>
      </c>
      <c r="C682" s="3" t="s">
        <v>6678</v>
      </c>
      <c r="D682" s="3" t="s">
        <v>6679</v>
      </c>
      <c r="E682" s="2" t="s">
        <v>25</v>
      </c>
      <c r="F682" s="2" t="s">
        <v>26</v>
      </c>
      <c r="G682" s="3" t="s">
        <v>6680</v>
      </c>
      <c r="H682" s="2" t="s">
        <v>6681</v>
      </c>
      <c r="I682" s="3" t="s">
        <v>29</v>
      </c>
      <c r="J682" s="3" t="s">
        <v>5229</v>
      </c>
      <c r="K682" s="3" t="s">
        <v>47</v>
      </c>
      <c r="L682" s="3" t="s">
        <v>167</v>
      </c>
      <c r="M682" s="3" t="s">
        <v>5230</v>
      </c>
      <c r="N682" s="3" t="s">
        <v>6682</v>
      </c>
      <c r="O682" s="3" t="s">
        <v>6683</v>
      </c>
      <c r="P682" s="3" t="s">
        <v>6684</v>
      </c>
      <c r="Q682" s="3" t="s">
        <v>6685</v>
      </c>
      <c r="R682" s="3" t="s">
        <v>6685</v>
      </c>
      <c r="S682" s="2" t="s">
        <v>38</v>
      </c>
      <c r="T682" s="2" t="s">
        <v>39</v>
      </c>
      <c r="U682" s="2" t="s">
        <v>40</v>
      </c>
      <c r="V682" s="3"/>
    </row>
    <row r="683" spans="1:22">
      <c r="A683" s="2">
        <v>682</v>
      </c>
      <c r="B683" s="3" t="s">
        <v>6429</v>
      </c>
      <c r="C683" s="3" t="s">
        <v>6686</v>
      </c>
      <c r="D683" s="3" t="s">
        <v>6687</v>
      </c>
      <c r="E683" s="2" t="s">
        <v>404</v>
      </c>
      <c r="F683" s="2" t="s">
        <v>26</v>
      </c>
      <c r="G683" s="3" t="s">
        <v>6688</v>
      </c>
      <c r="H683" s="2" t="s">
        <v>6689</v>
      </c>
      <c r="I683" s="3" t="s">
        <v>29</v>
      </c>
      <c r="J683" s="3" t="s">
        <v>5322</v>
      </c>
      <c r="K683" s="3" t="s">
        <v>47</v>
      </c>
      <c r="L683" s="3" t="s">
        <v>167</v>
      </c>
      <c r="M683" s="3" t="s">
        <v>5285</v>
      </c>
      <c r="N683" s="3" t="s">
        <v>6690</v>
      </c>
      <c r="O683" s="3" t="s">
        <v>6691</v>
      </c>
      <c r="P683" s="3" t="s">
        <v>6692</v>
      </c>
      <c r="Q683" s="3" t="s">
        <v>6693</v>
      </c>
      <c r="R683" s="3" t="s">
        <v>6693</v>
      </c>
      <c r="S683" s="2" t="s">
        <v>38</v>
      </c>
      <c r="T683" s="2" t="s">
        <v>39</v>
      </c>
      <c r="U683" s="2" t="s">
        <v>40</v>
      </c>
      <c r="V683" s="3"/>
    </row>
    <row r="684" spans="1:22">
      <c r="A684" s="2">
        <v>683</v>
      </c>
      <c r="B684" s="3" t="s">
        <v>6429</v>
      </c>
      <c r="C684" s="3" t="s">
        <v>6694</v>
      </c>
      <c r="D684" s="3" t="s">
        <v>6695</v>
      </c>
      <c r="E684" s="2" t="s">
        <v>25</v>
      </c>
      <c r="F684" s="2" t="s">
        <v>26</v>
      </c>
      <c r="G684" s="3" t="s">
        <v>6696</v>
      </c>
      <c r="H684" s="2" t="s">
        <v>6697</v>
      </c>
      <c r="I684" s="3" t="s">
        <v>29</v>
      </c>
      <c r="J684" s="3" t="s">
        <v>6698</v>
      </c>
      <c r="K684" s="3" t="s">
        <v>47</v>
      </c>
      <c r="L684" s="3" t="s">
        <v>167</v>
      </c>
      <c r="M684" s="3" t="s">
        <v>6622</v>
      </c>
      <c r="N684" s="3" t="s">
        <v>6699</v>
      </c>
      <c r="O684" s="3" t="s">
        <v>6700</v>
      </c>
      <c r="P684" s="3" t="s">
        <v>6701</v>
      </c>
      <c r="Q684" s="3" t="s">
        <v>6702</v>
      </c>
      <c r="R684" s="3" t="s">
        <v>6702</v>
      </c>
      <c r="S684" s="2" t="s">
        <v>38</v>
      </c>
      <c r="T684" s="2" t="s">
        <v>39</v>
      </c>
      <c r="U684" s="2" t="s">
        <v>40</v>
      </c>
      <c r="V684" s="3"/>
    </row>
    <row r="685" spans="1:22">
      <c r="A685" s="2">
        <v>684</v>
      </c>
      <c r="B685" s="3" t="s">
        <v>6429</v>
      </c>
      <c r="C685" s="3" t="s">
        <v>6703</v>
      </c>
      <c r="D685" s="3" t="s">
        <v>6704</v>
      </c>
      <c r="E685" s="2" t="s">
        <v>56</v>
      </c>
      <c r="F685" s="2" t="s">
        <v>26</v>
      </c>
      <c r="G685" s="3" t="s">
        <v>6705</v>
      </c>
      <c r="H685" s="2" t="s">
        <v>6706</v>
      </c>
      <c r="I685" s="3" t="s">
        <v>29</v>
      </c>
      <c r="J685" s="3" t="s">
        <v>5140</v>
      </c>
      <c r="K685" s="3" t="s">
        <v>47</v>
      </c>
      <c r="L685" s="3" t="s">
        <v>323</v>
      </c>
      <c r="M685" s="3" t="s">
        <v>5313</v>
      </c>
      <c r="N685" s="3" t="s">
        <v>3280</v>
      </c>
      <c r="O685" s="3" t="s">
        <v>6707</v>
      </c>
      <c r="P685" s="3" t="s">
        <v>6708</v>
      </c>
      <c r="Q685" s="3" t="s">
        <v>6709</v>
      </c>
      <c r="R685" s="3" t="s">
        <v>6709</v>
      </c>
      <c r="S685" s="2" t="s">
        <v>38</v>
      </c>
      <c r="T685" s="2" t="s">
        <v>39</v>
      </c>
      <c r="U685" s="2" t="s">
        <v>40</v>
      </c>
      <c r="V685" s="3"/>
    </row>
    <row r="686" spans="1:22">
      <c r="A686" s="2">
        <v>685</v>
      </c>
      <c r="B686" s="3" t="s">
        <v>6429</v>
      </c>
      <c r="C686" s="3" t="s">
        <v>6710</v>
      </c>
      <c r="D686" s="3" t="s">
        <v>6711</v>
      </c>
      <c r="E686" s="2" t="s">
        <v>81</v>
      </c>
      <c r="F686" s="2" t="s">
        <v>26</v>
      </c>
      <c r="G686" s="3" t="s">
        <v>6712</v>
      </c>
      <c r="H686" s="2" t="s">
        <v>6713</v>
      </c>
      <c r="I686" s="3" t="s">
        <v>29</v>
      </c>
      <c r="J686" s="3" t="s">
        <v>5159</v>
      </c>
      <c r="K686" s="3" t="s">
        <v>47</v>
      </c>
      <c r="L686" s="3" t="s">
        <v>132</v>
      </c>
      <c r="M686" s="3" t="s">
        <v>5477</v>
      </c>
      <c r="N686" s="3" t="s">
        <v>6714</v>
      </c>
      <c r="O686" s="3" t="s">
        <v>6715</v>
      </c>
      <c r="P686" s="3" t="s">
        <v>6716</v>
      </c>
      <c r="Q686" s="3" t="s">
        <v>6717</v>
      </c>
      <c r="R686" s="3" t="s">
        <v>6717</v>
      </c>
      <c r="S686" s="2" t="s">
        <v>38</v>
      </c>
      <c r="T686" s="2" t="s">
        <v>39</v>
      </c>
      <c r="U686" s="2" t="s">
        <v>40</v>
      </c>
      <c r="V686" s="3"/>
    </row>
    <row r="687" spans="1:22">
      <c r="A687" s="2">
        <v>686</v>
      </c>
      <c r="B687" s="3" t="s">
        <v>6429</v>
      </c>
      <c r="C687" s="3" t="s">
        <v>6718</v>
      </c>
      <c r="D687" s="3" t="s">
        <v>6719</v>
      </c>
      <c r="E687" s="2" t="s">
        <v>69</v>
      </c>
      <c r="F687" s="2" t="s">
        <v>26</v>
      </c>
      <c r="G687" s="3" t="s">
        <v>6720</v>
      </c>
      <c r="H687" s="2" t="s">
        <v>6721</v>
      </c>
      <c r="I687" s="3" t="s">
        <v>29</v>
      </c>
      <c r="J687" s="3" t="s">
        <v>106</v>
      </c>
      <c r="K687" s="3" t="s">
        <v>47</v>
      </c>
      <c r="L687" s="3" t="s">
        <v>73</v>
      </c>
      <c r="M687" s="3" t="s">
        <v>108</v>
      </c>
      <c r="N687" s="3" t="s">
        <v>5648</v>
      </c>
      <c r="O687" s="3" t="s">
        <v>6722</v>
      </c>
      <c r="P687" s="3" t="s">
        <v>6723</v>
      </c>
      <c r="Q687" s="3" t="s">
        <v>6724</v>
      </c>
      <c r="R687" s="3" t="s">
        <v>6724</v>
      </c>
      <c r="S687" s="2" t="s">
        <v>38</v>
      </c>
      <c r="T687" s="2" t="s">
        <v>39</v>
      </c>
      <c r="U687" s="2" t="s">
        <v>40</v>
      </c>
      <c r="V687" s="3"/>
    </row>
    <row r="688" spans="1:22">
      <c r="A688" s="2">
        <v>687</v>
      </c>
      <c r="B688" s="3" t="s">
        <v>6429</v>
      </c>
      <c r="C688" s="3" t="s">
        <v>6725</v>
      </c>
      <c r="D688" s="3" t="s">
        <v>6726</v>
      </c>
      <c r="E688" s="2" t="s">
        <v>984</v>
      </c>
      <c r="F688" s="2" t="s">
        <v>26</v>
      </c>
      <c r="G688" s="3" t="s">
        <v>6727</v>
      </c>
      <c r="H688" s="2" t="s">
        <v>6728</v>
      </c>
      <c r="I688" s="3" t="s">
        <v>29</v>
      </c>
      <c r="J688" s="3" t="s">
        <v>6729</v>
      </c>
      <c r="K688" s="3" t="s">
        <v>47</v>
      </c>
      <c r="L688" s="3" t="s">
        <v>167</v>
      </c>
      <c r="M688" s="3" t="s">
        <v>6730</v>
      </c>
      <c r="N688" s="3" t="s">
        <v>6731</v>
      </c>
      <c r="O688" s="3" t="s">
        <v>6732</v>
      </c>
      <c r="P688" s="3" t="s">
        <v>6733</v>
      </c>
      <c r="Q688" s="3" t="s">
        <v>6734</v>
      </c>
      <c r="R688" s="3" t="s">
        <v>6734</v>
      </c>
      <c r="S688" s="2" t="s">
        <v>38</v>
      </c>
      <c r="T688" s="2" t="s">
        <v>39</v>
      </c>
      <c r="U688" s="2" t="s">
        <v>40</v>
      </c>
      <c r="V688" s="3"/>
    </row>
    <row r="689" spans="1:22">
      <c r="A689" s="2">
        <v>688</v>
      </c>
      <c r="B689" s="3" t="s">
        <v>6429</v>
      </c>
      <c r="C689" s="3" t="s">
        <v>6735</v>
      </c>
      <c r="D689" s="3" t="s">
        <v>6736</v>
      </c>
      <c r="E689" s="2" t="s">
        <v>81</v>
      </c>
      <c r="F689" s="2" t="s">
        <v>26</v>
      </c>
      <c r="G689" s="3" t="s">
        <v>6737</v>
      </c>
      <c r="H689" s="2" t="s">
        <v>6738</v>
      </c>
      <c r="I689" s="3" t="s">
        <v>29</v>
      </c>
      <c r="J689" s="3" t="s">
        <v>6739</v>
      </c>
      <c r="K689" s="3" t="s">
        <v>47</v>
      </c>
      <c r="L689" s="3" t="s">
        <v>167</v>
      </c>
      <c r="M689" s="3" t="s">
        <v>6740</v>
      </c>
      <c r="N689" s="3" t="s">
        <v>6741</v>
      </c>
      <c r="O689" s="3" t="s">
        <v>6742</v>
      </c>
      <c r="P689" s="3" t="s">
        <v>6743</v>
      </c>
      <c r="Q689" s="3" t="s">
        <v>6744</v>
      </c>
      <c r="R689" s="3" t="s">
        <v>6744</v>
      </c>
      <c r="S689" s="2" t="s">
        <v>38</v>
      </c>
      <c r="T689" s="2" t="s">
        <v>39</v>
      </c>
      <c r="U689" s="2" t="s">
        <v>40</v>
      </c>
      <c r="V689" s="3"/>
    </row>
    <row r="690" spans="1:22">
      <c r="A690" s="2">
        <v>689</v>
      </c>
      <c r="B690" s="3" t="s">
        <v>6429</v>
      </c>
      <c r="C690" s="3" t="s">
        <v>6745</v>
      </c>
      <c r="D690" s="3" t="s">
        <v>6746</v>
      </c>
      <c r="E690" s="2" t="s">
        <v>69</v>
      </c>
      <c r="F690" s="2" t="s">
        <v>26</v>
      </c>
      <c r="G690" s="3" t="s">
        <v>6747</v>
      </c>
      <c r="H690" s="2" t="s">
        <v>6748</v>
      </c>
      <c r="I690" s="3" t="s">
        <v>29</v>
      </c>
      <c r="J690" s="3" t="s">
        <v>6749</v>
      </c>
      <c r="K690" s="3" t="s">
        <v>365</v>
      </c>
      <c r="L690" s="3" t="s">
        <v>61</v>
      </c>
      <c r="M690" s="3" t="s">
        <v>6750</v>
      </c>
      <c r="N690" s="3" t="s">
        <v>6751</v>
      </c>
      <c r="O690" s="3" t="s">
        <v>6752</v>
      </c>
      <c r="P690" s="3" t="s">
        <v>6753</v>
      </c>
      <c r="Q690" s="3" t="s">
        <v>6754</v>
      </c>
      <c r="R690" s="3" t="s">
        <v>6754</v>
      </c>
      <c r="S690" s="2" t="s">
        <v>38</v>
      </c>
      <c r="T690" s="2" t="s">
        <v>39</v>
      </c>
      <c r="U690" s="2" t="s">
        <v>40</v>
      </c>
      <c r="V690" s="3"/>
    </row>
    <row r="691" spans="1:22">
      <c r="A691" s="2">
        <v>690</v>
      </c>
      <c r="B691" s="3" t="s">
        <v>6429</v>
      </c>
      <c r="C691" s="3" t="s">
        <v>6755</v>
      </c>
      <c r="D691" s="3" t="s">
        <v>6756</v>
      </c>
      <c r="E691" s="2" t="s">
        <v>257</v>
      </c>
      <c r="F691" s="2" t="s">
        <v>26</v>
      </c>
      <c r="G691" s="3" t="s">
        <v>6757</v>
      </c>
      <c r="H691" s="2" t="s">
        <v>6758</v>
      </c>
      <c r="I691" s="3" t="s">
        <v>29</v>
      </c>
      <c r="J691" s="3" t="s">
        <v>6759</v>
      </c>
      <c r="K691" s="3" t="s">
        <v>365</v>
      </c>
      <c r="L691" s="3" t="s">
        <v>61</v>
      </c>
      <c r="M691" s="3" t="s">
        <v>6760</v>
      </c>
      <c r="N691" s="3" t="s">
        <v>6761</v>
      </c>
      <c r="O691" s="3" t="s">
        <v>6762</v>
      </c>
      <c r="P691" s="3" t="s">
        <v>6763</v>
      </c>
      <c r="Q691" s="3" t="s">
        <v>6764</v>
      </c>
      <c r="R691" s="3" t="s">
        <v>6764</v>
      </c>
      <c r="S691" s="2" t="s">
        <v>38</v>
      </c>
      <c r="T691" s="2" t="s">
        <v>39</v>
      </c>
      <c r="U691" s="2" t="s">
        <v>40</v>
      </c>
      <c r="V691" s="3"/>
    </row>
    <row r="692" spans="1:22">
      <c r="A692" s="2">
        <v>691</v>
      </c>
      <c r="B692" s="3" t="s">
        <v>6429</v>
      </c>
      <c r="C692" s="3" t="s">
        <v>6765</v>
      </c>
      <c r="D692" s="3" t="s">
        <v>6766</v>
      </c>
      <c r="E692" s="2" t="s">
        <v>3025</v>
      </c>
      <c r="F692" s="2" t="s">
        <v>26</v>
      </c>
      <c r="G692" s="3" t="s">
        <v>6767</v>
      </c>
      <c r="H692" s="2" t="s">
        <v>6768</v>
      </c>
      <c r="I692" s="3" t="s">
        <v>29</v>
      </c>
      <c r="J692" s="3" t="s">
        <v>6769</v>
      </c>
      <c r="K692" s="3" t="s">
        <v>47</v>
      </c>
      <c r="L692" s="3" t="s">
        <v>167</v>
      </c>
      <c r="M692" s="3" t="s">
        <v>6770</v>
      </c>
      <c r="N692" s="3" t="s">
        <v>6771</v>
      </c>
      <c r="O692" s="3" t="s">
        <v>6772</v>
      </c>
      <c r="P692" s="3" t="s">
        <v>6773</v>
      </c>
      <c r="Q692" s="3" t="s">
        <v>6774</v>
      </c>
      <c r="R692" s="3" t="s">
        <v>6774</v>
      </c>
      <c r="S692" s="2" t="s">
        <v>38</v>
      </c>
      <c r="T692" s="2" t="s">
        <v>39</v>
      </c>
      <c r="U692" s="2" t="s">
        <v>40</v>
      </c>
      <c r="V692" s="3"/>
    </row>
    <row r="693" spans="1:22">
      <c r="A693" s="2">
        <v>692</v>
      </c>
      <c r="B693" s="3" t="s">
        <v>6429</v>
      </c>
      <c r="C693" s="3" t="s">
        <v>6775</v>
      </c>
      <c r="D693" s="3" t="s">
        <v>6776</v>
      </c>
      <c r="E693" s="2" t="s">
        <v>773</v>
      </c>
      <c r="F693" s="2" t="s">
        <v>26</v>
      </c>
      <c r="G693" s="3" t="s">
        <v>6777</v>
      </c>
      <c r="H693" s="2" t="s">
        <v>6778</v>
      </c>
      <c r="I693" s="3" t="s">
        <v>29</v>
      </c>
      <c r="J693" s="3" t="s">
        <v>6779</v>
      </c>
      <c r="K693" s="3" t="s">
        <v>541</v>
      </c>
      <c r="L693" s="3" t="s">
        <v>48</v>
      </c>
      <c r="M693" s="3" t="s">
        <v>542</v>
      </c>
      <c r="N693" s="3" t="s">
        <v>6780</v>
      </c>
      <c r="O693" s="3" t="s">
        <v>6781</v>
      </c>
      <c r="P693" s="3" t="s">
        <v>6782</v>
      </c>
      <c r="Q693" s="3" t="s">
        <v>6783</v>
      </c>
      <c r="R693" s="3" t="s">
        <v>6783</v>
      </c>
      <c r="S693" s="2" t="s">
        <v>38</v>
      </c>
      <c r="T693" s="2" t="s">
        <v>39</v>
      </c>
      <c r="U693" s="2" t="s">
        <v>40</v>
      </c>
      <c r="V693" s="3"/>
    </row>
    <row r="694" spans="1:22">
      <c r="A694" s="2">
        <v>693</v>
      </c>
      <c r="B694" s="3" t="s">
        <v>6429</v>
      </c>
      <c r="C694" s="3" t="s">
        <v>6784</v>
      </c>
      <c r="D694" s="3" t="s">
        <v>6785</v>
      </c>
      <c r="E694" s="2" t="s">
        <v>383</v>
      </c>
      <c r="F694" s="2" t="s">
        <v>26</v>
      </c>
      <c r="G694" s="3" t="s">
        <v>6786</v>
      </c>
      <c r="H694" s="2" t="s">
        <v>6787</v>
      </c>
      <c r="I694" s="3" t="s">
        <v>29</v>
      </c>
      <c r="J694" s="3" t="s">
        <v>6788</v>
      </c>
      <c r="K694" s="3" t="s">
        <v>47</v>
      </c>
      <c r="L694" s="3" t="s">
        <v>323</v>
      </c>
      <c r="M694" s="3" t="s">
        <v>6789</v>
      </c>
      <c r="N694" s="3" t="s">
        <v>6790</v>
      </c>
      <c r="O694" s="3" t="s">
        <v>6791</v>
      </c>
      <c r="P694" s="3" t="s">
        <v>6792</v>
      </c>
      <c r="Q694" s="3" t="s">
        <v>6793</v>
      </c>
      <c r="R694" s="3" t="s">
        <v>6793</v>
      </c>
      <c r="S694" s="2" t="s">
        <v>38</v>
      </c>
      <c r="T694" s="2" t="s">
        <v>39</v>
      </c>
      <c r="U694" s="2" t="s">
        <v>40</v>
      </c>
      <c r="V694" s="3"/>
    </row>
    <row r="695" spans="1:22">
      <c r="A695" s="2">
        <v>694</v>
      </c>
      <c r="B695" s="3" t="s">
        <v>6429</v>
      </c>
      <c r="C695" s="3" t="s">
        <v>6794</v>
      </c>
      <c r="D695" s="3" t="s">
        <v>6795</v>
      </c>
      <c r="E695" s="2" t="s">
        <v>25</v>
      </c>
      <c r="F695" s="2" t="s">
        <v>26</v>
      </c>
      <c r="G695" s="3" t="s">
        <v>6796</v>
      </c>
      <c r="H695" s="2" t="s">
        <v>6797</v>
      </c>
      <c r="I695" s="3" t="s">
        <v>29</v>
      </c>
      <c r="J695" s="3" t="s">
        <v>6798</v>
      </c>
      <c r="K695" s="3" t="s">
        <v>47</v>
      </c>
      <c r="L695" s="3" t="s">
        <v>323</v>
      </c>
      <c r="M695" s="3" t="s">
        <v>6799</v>
      </c>
      <c r="N695" s="3" t="s">
        <v>6800</v>
      </c>
      <c r="O695" s="3" t="s">
        <v>6801</v>
      </c>
      <c r="P695" s="3" t="s">
        <v>6802</v>
      </c>
      <c r="Q695" s="3" t="s">
        <v>6803</v>
      </c>
      <c r="R695" s="3" t="s">
        <v>6803</v>
      </c>
      <c r="S695" s="2" t="s">
        <v>38</v>
      </c>
      <c r="T695" s="2" t="s">
        <v>39</v>
      </c>
      <c r="U695" s="2" t="s">
        <v>40</v>
      </c>
      <c r="V695" s="3"/>
    </row>
    <row r="696" spans="1:22">
      <c r="A696" s="2">
        <v>695</v>
      </c>
      <c r="B696" s="3" t="s">
        <v>6429</v>
      </c>
      <c r="C696" s="3" t="s">
        <v>6804</v>
      </c>
      <c r="D696" s="3" t="s">
        <v>6805</v>
      </c>
      <c r="E696" s="2" t="s">
        <v>81</v>
      </c>
      <c r="F696" s="2" t="s">
        <v>43</v>
      </c>
      <c r="G696" s="3" t="s">
        <v>6806</v>
      </c>
      <c r="H696" s="2" t="s">
        <v>6807</v>
      </c>
      <c r="I696" s="3" t="s">
        <v>29</v>
      </c>
      <c r="J696" s="3" t="s">
        <v>6808</v>
      </c>
      <c r="K696" s="3" t="s">
        <v>31</v>
      </c>
      <c r="L696" s="3" t="s">
        <v>323</v>
      </c>
      <c r="M696" s="3" t="s">
        <v>6809</v>
      </c>
      <c r="N696" s="3" t="s">
        <v>6810</v>
      </c>
      <c r="O696" s="3" t="s">
        <v>6811</v>
      </c>
      <c r="P696" s="3" t="s">
        <v>6812</v>
      </c>
      <c r="Q696" s="3" t="s">
        <v>6813</v>
      </c>
      <c r="R696" s="3" t="s">
        <v>6813</v>
      </c>
      <c r="S696" s="2" t="s">
        <v>38</v>
      </c>
      <c r="T696" s="2" t="s">
        <v>39</v>
      </c>
      <c r="U696" s="2" t="s">
        <v>40</v>
      </c>
      <c r="V696" s="3"/>
    </row>
    <row r="697" spans="1:22">
      <c r="A697" s="2">
        <v>696</v>
      </c>
      <c r="B697" s="3" t="s">
        <v>6429</v>
      </c>
      <c r="C697" s="3" t="s">
        <v>6814</v>
      </c>
      <c r="D697" s="3" t="s">
        <v>6815</v>
      </c>
      <c r="E697" s="2" t="s">
        <v>257</v>
      </c>
      <c r="F697" s="2" t="s">
        <v>43</v>
      </c>
      <c r="G697" s="3" t="s">
        <v>6816</v>
      </c>
      <c r="H697" s="2" t="s">
        <v>6817</v>
      </c>
      <c r="I697" s="3" t="s">
        <v>29</v>
      </c>
      <c r="J697" s="3" t="s">
        <v>6818</v>
      </c>
      <c r="K697" s="3" t="s">
        <v>272</v>
      </c>
      <c r="L697" s="3" t="s">
        <v>989</v>
      </c>
      <c r="M697" s="3" t="s">
        <v>6819</v>
      </c>
      <c r="N697" s="3" t="s">
        <v>6027</v>
      </c>
      <c r="O697" s="3" t="s">
        <v>6820</v>
      </c>
      <c r="P697" s="3" t="s">
        <v>6821</v>
      </c>
      <c r="Q697" s="3" t="s">
        <v>6822</v>
      </c>
      <c r="R697" s="3" t="s">
        <v>6822</v>
      </c>
      <c r="S697" s="2" t="s">
        <v>38</v>
      </c>
      <c r="T697" s="2" t="s">
        <v>39</v>
      </c>
      <c r="U697" s="2" t="s">
        <v>40</v>
      </c>
      <c r="V697" s="3"/>
    </row>
    <row r="698" spans="1:22">
      <c r="A698" s="2">
        <v>697</v>
      </c>
      <c r="B698" s="3" t="s">
        <v>6429</v>
      </c>
      <c r="C698" s="3" t="s">
        <v>6823</v>
      </c>
      <c r="D698" s="3" t="s">
        <v>6824</v>
      </c>
      <c r="E698" s="2" t="s">
        <v>103</v>
      </c>
      <c r="F698" s="2" t="s">
        <v>43</v>
      </c>
      <c r="G698" s="3" t="s">
        <v>6825</v>
      </c>
      <c r="H698" s="2" t="s">
        <v>6826</v>
      </c>
      <c r="I698" s="3" t="s">
        <v>29</v>
      </c>
      <c r="J698" s="3" t="s">
        <v>6827</v>
      </c>
      <c r="K698" s="3" t="s">
        <v>47</v>
      </c>
      <c r="L698" s="3" t="s">
        <v>145</v>
      </c>
      <c r="M698" s="3" t="s">
        <v>6828</v>
      </c>
      <c r="N698" s="3" t="s">
        <v>6829</v>
      </c>
      <c r="O698" s="3" t="s">
        <v>6830</v>
      </c>
      <c r="P698" s="3" t="s">
        <v>6831</v>
      </c>
      <c r="Q698" s="3" t="s">
        <v>6832</v>
      </c>
      <c r="R698" s="3" t="s">
        <v>6832</v>
      </c>
      <c r="S698" s="2" t="s">
        <v>3054</v>
      </c>
      <c r="T698" s="2" t="s">
        <v>39</v>
      </c>
      <c r="U698" s="2" t="s">
        <v>40</v>
      </c>
      <c r="V698" s="3"/>
    </row>
    <row r="699" spans="1:22">
      <c r="A699" s="2">
        <v>698</v>
      </c>
      <c r="B699" s="3" t="s">
        <v>6429</v>
      </c>
      <c r="C699" s="3" t="s">
        <v>6833</v>
      </c>
      <c r="D699" s="3" t="s">
        <v>6834</v>
      </c>
      <c r="E699" s="2" t="s">
        <v>103</v>
      </c>
      <c r="F699" s="2" t="s">
        <v>43</v>
      </c>
      <c r="G699" s="3" t="s">
        <v>6835</v>
      </c>
      <c r="H699" s="2" t="s">
        <v>6836</v>
      </c>
      <c r="I699" s="3" t="s">
        <v>29</v>
      </c>
      <c r="J699" s="3" t="s">
        <v>6837</v>
      </c>
      <c r="K699" s="3" t="s">
        <v>47</v>
      </c>
      <c r="L699" s="3" t="s">
        <v>145</v>
      </c>
      <c r="M699" s="3" t="s">
        <v>6838</v>
      </c>
      <c r="N699" s="3" t="s">
        <v>6839</v>
      </c>
      <c r="O699" s="3" t="s">
        <v>6840</v>
      </c>
      <c r="P699" s="3" t="s">
        <v>6841</v>
      </c>
      <c r="Q699" s="3" t="s">
        <v>6842</v>
      </c>
      <c r="R699" s="3" t="s">
        <v>6842</v>
      </c>
      <c r="S699" s="2" t="s">
        <v>3054</v>
      </c>
      <c r="T699" s="2" t="s">
        <v>39</v>
      </c>
      <c r="U699" s="2" t="s">
        <v>40</v>
      </c>
      <c r="V699" s="3"/>
    </row>
    <row r="700" spans="1:22">
      <c r="A700" s="2">
        <v>699</v>
      </c>
      <c r="B700" s="3" t="s">
        <v>6429</v>
      </c>
      <c r="C700" s="3" t="s">
        <v>6843</v>
      </c>
      <c r="D700" s="3" t="s">
        <v>6844</v>
      </c>
      <c r="E700" s="2" t="s">
        <v>404</v>
      </c>
      <c r="F700" s="2" t="s">
        <v>43</v>
      </c>
      <c r="G700" s="3" t="s">
        <v>6845</v>
      </c>
      <c r="H700" s="2" t="s">
        <v>6846</v>
      </c>
      <c r="I700" s="3" t="s">
        <v>29</v>
      </c>
      <c r="J700" s="3" t="s">
        <v>6847</v>
      </c>
      <c r="K700" s="3" t="s">
        <v>47</v>
      </c>
      <c r="L700" s="3" t="s">
        <v>145</v>
      </c>
      <c r="M700" s="3" t="s">
        <v>6848</v>
      </c>
      <c r="N700" s="3" t="s">
        <v>6849</v>
      </c>
      <c r="O700" s="3" t="s">
        <v>6850</v>
      </c>
      <c r="P700" s="3" t="s">
        <v>6851</v>
      </c>
      <c r="Q700" s="3" t="s">
        <v>6852</v>
      </c>
      <c r="R700" s="3" t="s">
        <v>6852</v>
      </c>
      <c r="S700" s="2" t="s">
        <v>38</v>
      </c>
      <c r="T700" s="2" t="s">
        <v>39</v>
      </c>
      <c r="U700" s="2" t="s">
        <v>40</v>
      </c>
      <c r="V700" s="3"/>
    </row>
    <row r="701" spans="1:22">
      <c r="A701" s="2">
        <v>700</v>
      </c>
      <c r="B701" s="3" t="s">
        <v>6429</v>
      </c>
      <c r="C701" s="3" t="s">
        <v>6853</v>
      </c>
      <c r="D701" s="3" t="s">
        <v>6854</v>
      </c>
      <c r="E701" s="2" t="s">
        <v>116</v>
      </c>
      <c r="F701" s="2" t="s">
        <v>43</v>
      </c>
      <c r="G701" s="3" t="s">
        <v>6855</v>
      </c>
      <c r="H701" s="2" t="s">
        <v>6856</v>
      </c>
      <c r="I701" s="3" t="s">
        <v>29</v>
      </c>
      <c r="J701" s="3" t="s">
        <v>6857</v>
      </c>
      <c r="K701" s="3" t="s">
        <v>272</v>
      </c>
      <c r="L701" s="3" t="s">
        <v>323</v>
      </c>
      <c r="M701" s="3" t="s">
        <v>6858</v>
      </c>
      <c r="N701" s="3" t="s">
        <v>6859</v>
      </c>
      <c r="O701" s="3" t="s">
        <v>6860</v>
      </c>
      <c r="P701" s="3" t="s">
        <v>6861</v>
      </c>
      <c r="Q701" s="3" t="s">
        <v>6862</v>
      </c>
      <c r="R701" s="3" t="s">
        <v>6862</v>
      </c>
      <c r="S701" s="2" t="s">
        <v>38</v>
      </c>
      <c r="T701" s="2" t="s">
        <v>39</v>
      </c>
      <c r="U701" s="2" t="s">
        <v>40</v>
      </c>
      <c r="V701" s="3"/>
    </row>
    <row r="702" spans="1:22">
      <c r="A702" s="2">
        <v>701</v>
      </c>
      <c r="B702" s="3" t="s">
        <v>6863</v>
      </c>
      <c r="C702" s="3" t="s">
        <v>6864</v>
      </c>
      <c r="D702" s="3" t="s">
        <v>6865</v>
      </c>
      <c r="E702" s="2" t="s">
        <v>25</v>
      </c>
      <c r="F702" s="2" t="s">
        <v>43</v>
      </c>
      <c r="G702" s="3" t="s">
        <v>6866</v>
      </c>
      <c r="H702" s="2" t="s">
        <v>6867</v>
      </c>
      <c r="I702" s="3" t="s">
        <v>29</v>
      </c>
      <c r="J702" s="3" t="s">
        <v>6868</v>
      </c>
      <c r="K702" s="3" t="s">
        <v>272</v>
      </c>
      <c r="L702" s="3" t="s">
        <v>132</v>
      </c>
      <c r="M702" s="3" t="s">
        <v>6869</v>
      </c>
      <c r="N702" s="3" t="s">
        <v>6870</v>
      </c>
      <c r="O702" s="3" t="s">
        <v>6871</v>
      </c>
      <c r="P702" s="3" t="s">
        <v>6872</v>
      </c>
      <c r="Q702" s="3" t="s">
        <v>6873</v>
      </c>
      <c r="R702" s="3" t="s">
        <v>6873</v>
      </c>
      <c r="S702" s="2" t="s">
        <v>38</v>
      </c>
      <c r="T702" s="2" t="s">
        <v>39</v>
      </c>
      <c r="U702" s="2" t="s">
        <v>40</v>
      </c>
      <c r="V702" s="3"/>
    </row>
    <row r="703" spans="1:22">
      <c r="A703" s="2">
        <v>702</v>
      </c>
      <c r="B703" s="3" t="s">
        <v>6863</v>
      </c>
      <c r="C703" s="3" t="s">
        <v>6874</v>
      </c>
      <c r="D703" s="3" t="s">
        <v>6875</v>
      </c>
      <c r="E703" s="2" t="s">
        <v>25</v>
      </c>
      <c r="F703" s="2" t="s">
        <v>43</v>
      </c>
      <c r="G703" s="3" t="s">
        <v>6876</v>
      </c>
      <c r="H703" s="2" t="s">
        <v>6877</v>
      </c>
      <c r="I703" s="3" t="s">
        <v>29</v>
      </c>
      <c r="J703" s="3" t="s">
        <v>6878</v>
      </c>
      <c r="K703" s="3" t="s">
        <v>47</v>
      </c>
      <c r="L703" s="3" t="s">
        <v>132</v>
      </c>
      <c r="M703" s="3" t="s">
        <v>6879</v>
      </c>
      <c r="N703" s="3" t="s">
        <v>6880</v>
      </c>
      <c r="O703" s="3" t="s">
        <v>6881</v>
      </c>
      <c r="P703" s="3" t="s">
        <v>6882</v>
      </c>
      <c r="Q703" s="3" t="s">
        <v>6883</v>
      </c>
      <c r="R703" s="3" t="s">
        <v>6883</v>
      </c>
      <c r="S703" s="2" t="s">
        <v>38</v>
      </c>
      <c r="T703" s="2" t="s">
        <v>39</v>
      </c>
      <c r="U703" s="2" t="s">
        <v>40</v>
      </c>
      <c r="V703" s="3"/>
    </row>
    <row r="704" spans="1:22">
      <c r="A704" s="2">
        <v>703</v>
      </c>
      <c r="B704" s="3" t="s">
        <v>6863</v>
      </c>
      <c r="C704" s="3" t="s">
        <v>6884</v>
      </c>
      <c r="D704" s="3" t="s">
        <v>6885</v>
      </c>
      <c r="E704" s="2" t="s">
        <v>404</v>
      </c>
      <c r="F704" s="2" t="s">
        <v>43</v>
      </c>
      <c r="G704" s="3" t="s">
        <v>6886</v>
      </c>
      <c r="H704" s="2" t="s">
        <v>6887</v>
      </c>
      <c r="I704" s="3" t="s">
        <v>29</v>
      </c>
      <c r="J704" s="3" t="s">
        <v>6888</v>
      </c>
      <c r="K704" s="3" t="s">
        <v>47</v>
      </c>
      <c r="L704" s="3" t="s">
        <v>132</v>
      </c>
      <c r="M704" s="3" t="s">
        <v>6889</v>
      </c>
      <c r="N704" s="3" t="s">
        <v>6890</v>
      </c>
      <c r="O704" s="3" t="s">
        <v>6891</v>
      </c>
      <c r="P704" s="3" t="s">
        <v>6892</v>
      </c>
      <c r="Q704" s="3" t="s">
        <v>6893</v>
      </c>
      <c r="R704" s="3" t="s">
        <v>6893</v>
      </c>
      <c r="S704" s="2" t="s">
        <v>38</v>
      </c>
      <c r="T704" s="2" t="s">
        <v>39</v>
      </c>
      <c r="U704" s="2" t="s">
        <v>40</v>
      </c>
      <c r="V704" s="3"/>
    </row>
    <row r="705" spans="1:22">
      <c r="A705" s="2">
        <v>704</v>
      </c>
      <c r="B705" s="3" t="s">
        <v>6863</v>
      </c>
      <c r="C705" s="3" t="s">
        <v>6894</v>
      </c>
      <c r="D705" s="3" t="s">
        <v>6895</v>
      </c>
      <c r="E705" s="2" t="s">
        <v>116</v>
      </c>
      <c r="F705" s="2" t="s">
        <v>43</v>
      </c>
      <c r="G705" s="3" t="s">
        <v>6896</v>
      </c>
      <c r="H705" s="2" t="s">
        <v>6897</v>
      </c>
      <c r="I705" s="3" t="s">
        <v>29</v>
      </c>
      <c r="J705" s="3" t="s">
        <v>6898</v>
      </c>
      <c r="K705" s="3" t="s">
        <v>47</v>
      </c>
      <c r="L705" s="3" t="s">
        <v>132</v>
      </c>
      <c r="M705" s="3" t="s">
        <v>6899</v>
      </c>
      <c r="N705" s="3" t="s">
        <v>6900</v>
      </c>
      <c r="O705" s="3" t="s">
        <v>6901</v>
      </c>
      <c r="P705" s="3" t="s">
        <v>6902</v>
      </c>
      <c r="Q705" s="3" t="s">
        <v>6903</v>
      </c>
      <c r="R705" s="3" t="s">
        <v>6903</v>
      </c>
      <c r="S705" s="2" t="s">
        <v>38</v>
      </c>
      <c r="T705" s="2" t="s">
        <v>39</v>
      </c>
      <c r="U705" s="2" t="s">
        <v>40</v>
      </c>
      <c r="V705" s="3"/>
    </row>
    <row r="706" spans="1:22">
      <c r="A706" s="2">
        <v>705</v>
      </c>
      <c r="B706" s="3" t="s">
        <v>6863</v>
      </c>
      <c r="C706" s="3" t="s">
        <v>6904</v>
      </c>
      <c r="D706" s="3" t="s">
        <v>6905</v>
      </c>
      <c r="E706" s="2" t="s">
        <v>4812</v>
      </c>
      <c r="F706" s="2" t="s">
        <v>43</v>
      </c>
      <c r="G706" s="3" t="s">
        <v>6906</v>
      </c>
      <c r="H706" s="2" t="s">
        <v>6907</v>
      </c>
      <c r="I706" s="3" t="s">
        <v>29</v>
      </c>
      <c r="J706" s="3" t="s">
        <v>6908</v>
      </c>
      <c r="K706" s="3" t="s">
        <v>47</v>
      </c>
      <c r="L706" s="3" t="s">
        <v>323</v>
      </c>
      <c r="M706" s="3" t="s">
        <v>6909</v>
      </c>
      <c r="N706" s="3" t="s">
        <v>6910</v>
      </c>
      <c r="O706" s="3" t="s">
        <v>6911</v>
      </c>
      <c r="P706" s="3" t="s">
        <v>6912</v>
      </c>
      <c r="Q706" s="3" t="s">
        <v>6913</v>
      </c>
      <c r="R706" s="3" t="s">
        <v>6913</v>
      </c>
      <c r="S706" s="2" t="s">
        <v>38</v>
      </c>
      <c r="T706" s="2" t="s">
        <v>39</v>
      </c>
      <c r="U706" s="2" t="s">
        <v>40</v>
      </c>
      <c r="V706" s="3"/>
    </row>
    <row r="707" spans="1:22">
      <c r="A707" s="2">
        <v>706</v>
      </c>
      <c r="B707" s="3" t="s">
        <v>6863</v>
      </c>
      <c r="C707" s="3" t="s">
        <v>6914</v>
      </c>
      <c r="D707" s="3" t="s">
        <v>6915</v>
      </c>
      <c r="E707" s="2" t="s">
        <v>103</v>
      </c>
      <c r="F707" s="2" t="s">
        <v>43</v>
      </c>
      <c r="G707" s="3" t="s">
        <v>6916</v>
      </c>
      <c r="H707" s="2" t="s">
        <v>6917</v>
      </c>
      <c r="I707" s="3" t="s">
        <v>29</v>
      </c>
      <c r="J707" s="3" t="s">
        <v>6918</v>
      </c>
      <c r="K707" s="3" t="s">
        <v>47</v>
      </c>
      <c r="L707" s="3" t="s">
        <v>145</v>
      </c>
      <c r="M707" s="3" t="s">
        <v>6919</v>
      </c>
      <c r="N707" s="3" t="s">
        <v>6920</v>
      </c>
      <c r="O707" s="3" t="s">
        <v>6921</v>
      </c>
      <c r="P707" s="3" t="s">
        <v>6922</v>
      </c>
      <c r="Q707" s="3" t="s">
        <v>6923</v>
      </c>
      <c r="R707" s="3" t="s">
        <v>6923</v>
      </c>
      <c r="S707" s="2" t="s">
        <v>38</v>
      </c>
      <c r="T707" s="2" t="s">
        <v>39</v>
      </c>
      <c r="U707" s="2" t="s">
        <v>40</v>
      </c>
      <c r="V707" s="3"/>
    </row>
    <row r="708" spans="1:22">
      <c r="A708" s="2">
        <v>707</v>
      </c>
      <c r="B708" s="3" t="s">
        <v>6863</v>
      </c>
      <c r="C708" s="3" t="s">
        <v>6924</v>
      </c>
      <c r="D708" s="3" t="s">
        <v>6925</v>
      </c>
      <c r="E708" s="2" t="s">
        <v>953</v>
      </c>
      <c r="F708" s="2" t="s">
        <v>43</v>
      </c>
      <c r="G708" s="3" t="s">
        <v>6926</v>
      </c>
      <c r="H708" s="2" t="s">
        <v>6927</v>
      </c>
      <c r="I708" s="3" t="s">
        <v>29</v>
      </c>
      <c r="J708" s="3" t="s">
        <v>6928</v>
      </c>
      <c r="K708" s="3" t="s">
        <v>47</v>
      </c>
      <c r="L708" s="3" t="s">
        <v>145</v>
      </c>
      <c r="M708" s="3" t="s">
        <v>6929</v>
      </c>
      <c r="N708" s="3" t="s">
        <v>6930</v>
      </c>
      <c r="O708" s="3" t="s">
        <v>6931</v>
      </c>
      <c r="P708" s="3" t="s">
        <v>6932</v>
      </c>
      <c r="Q708" s="3" t="s">
        <v>6933</v>
      </c>
      <c r="R708" s="3" t="s">
        <v>6933</v>
      </c>
      <c r="S708" s="2" t="s">
        <v>38</v>
      </c>
      <c r="T708" s="2" t="s">
        <v>39</v>
      </c>
      <c r="U708" s="2" t="s">
        <v>40</v>
      </c>
      <c r="V708" s="3"/>
    </row>
    <row r="709" spans="1:22">
      <c r="A709" s="2">
        <v>708</v>
      </c>
      <c r="B709" s="3" t="s">
        <v>6863</v>
      </c>
      <c r="C709" s="3" t="s">
        <v>6934</v>
      </c>
      <c r="D709" s="3" t="s">
        <v>6935</v>
      </c>
      <c r="E709" s="2" t="s">
        <v>56</v>
      </c>
      <c r="F709" s="2" t="s">
        <v>43</v>
      </c>
      <c r="G709" s="3" t="s">
        <v>6936</v>
      </c>
      <c r="H709" s="2" t="s">
        <v>6937</v>
      </c>
      <c r="I709" s="3" t="s">
        <v>29</v>
      </c>
      <c r="J709" s="3" t="s">
        <v>6938</v>
      </c>
      <c r="K709" s="3" t="s">
        <v>47</v>
      </c>
      <c r="L709" s="3" t="s">
        <v>145</v>
      </c>
      <c r="M709" s="3" t="s">
        <v>6939</v>
      </c>
      <c r="N709" s="3" t="s">
        <v>6940</v>
      </c>
      <c r="O709" s="3" t="s">
        <v>6941</v>
      </c>
      <c r="P709" s="3" t="s">
        <v>6942</v>
      </c>
      <c r="Q709" s="3" t="s">
        <v>6943</v>
      </c>
      <c r="R709" s="3" t="s">
        <v>6943</v>
      </c>
      <c r="S709" s="2" t="s">
        <v>38</v>
      </c>
      <c r="T709" s="2" t="s">
        <v>39</v>
      </c>
      <c r="U709" s="2" t="s">
        <v>40</v>
      </c>
      <c r="V709" s="3"/>
    </row>
    <row r="710" spans="1:22">
      <c r="A710" s="2">
        <v>709</v>
      </c>
      <c r="B710" s="3" t="s">
        <v>6863</v>
      </c>
      <c r="C710" s="3" t="s">
        <v>6944</v>
      </c>
      <c r="D710" s="3" t="s">
        <v>6945</v>
      </c>
      <c r="E710" s="2" t="s">
        <v>351</v>
      </c>
      <c r="F710" s="2" t="s">
        <v>43</v>
      </c>
      <c r="G710" s="3" t="s">
        <v>6946</v>
      </c>
      <c r="H710" s="2" t="s">
        <v>6947</v>
      </c>
      <c r="I710" s="3" t="s">
        <v>29</v>
      </c>
      <c r="J710" s="3" t="s">
        <v>6948</v>
      </c>
      <c r="K710" s="3" t="s">
        <v>272</v>
      </c>
      <c r="L710" s="3" t="s">
        <v>145</v>
      </c>
      <c r="M710" s="3" t="s">
        <v>6949</v>
      </c>
      <c r="N710" s="3" t="s">
        <v>6950</v>
      </c>
      <c r="O710" s="3" t="s">
        <v>6951</v>
      </c>
      <c r="P710" s="3" t="s">
        <v>6952</v>
      </c>
      <c r="Q710" s="3" t="s">
        <v>6953</v>
      </c>
      <c r="R710" s="3" t="s">
        <v>6953</v>
      </c>
      <c r="S710" s="2" t="s">
        <v>38</v>
      </c>
      <c r="T710" s="2" t="s">
        <v>39</v>
      </c>
      <c r="U710" s="2" t="s">
        <v>40</v>
      </c>
      <c r="V710" s="3"/>
    </row>
    <row r="711" spans="1:22">
      <c r="A711" s="2">
        <v>710</v>
      </c>
      <c r="B711" s="3" t="s">
        <v>6863</v>
      </c>
      <c r="C711" s="3" t="s">
        <v>6954</v>
      </c>
      <c r="D711" s="3" t="s">
        <v>6955</v>
      </c>
      <c r="E711" s="2" t="s">
        <v>56</v>
      </c>
      <c r="F711" s="2" t="s">
        <v>43</v>
      </c>
      <c r="G711" s="3" t="s">
        <v>6956</v>
      </c>
      <c r="H711" s="2" t="s">
        <v>6957</v>
      </c>
      <c r="I711" s="3" t="s">
        <v>29</v>
      </c>
      <c r="J711" s="3" t="s">
        <v>6958</v>
      </c>
      <c r="K711" s="3" t="s">
        <v>47</v>
      </c>
      <c r="L711" s="3" t="s">
        <v>323</v>
      </c>
      <c r="M711" s="3" t="s">
        <v>6959</v>
      </c>
      <c r="N711" s="3" t="s">
        <v>6960</v>
      </c>
      <c r="O711" s="3" t="s">
        <v>6961</v>
      </c>
      <c r="P711" s="3" t="s">
        <v>6962</v>
      </c>
      <c r="Q711" s="3" t="s">
        <v>6963</v>
      </c>
      <c r="R711" s="3" t="s">
        <v>6963</v>
      </c>
      <c r="S711" s="2" t="s">
        <v>38</v>
      </c>
      <c r="T711" s="2" t="s">
        <v>39</v>
      </c>
      <c r="U711" s="2" t="s">
        <v>40</v>
      </c>
      <c r="V711" s="3"/>
    </row>
    <row r="712" spans="1:22">
      <c r="A712" s="2">
        <v>711</v>
      </c>
      <c r="B712" s="3" t="s">
        <v>6863</v>
      </c>
      <c r="C712" s="3" t="s">
        <v>6964</v>
      </c>
      <c r="D712" s="3" t="s">
        <v>6965</v>
      </c>
      <c r="E712" s="2" t="s">
        <v>984</v>
      </c>
      <c r="F712" s="2" t="s">
        <v>43</v>
      </c>
      <c r="G712" s="3" t="s">
        <v>6966</v>
      </c>
      <c r="H712" s="2" t="s">
        <v>6967</v>
      </c>
      <c r="I712" s="3" t="s">
        <v>29</v>
      </c>
      <c r="J712" s="3" t="s">
        <v>6968</v>
      </c>
      <c r="K712" s="3" t="s">
        <v>272</v>
      </c>
      <c r="L712" s="3" t="s">
        <v>293</v>
      </c>
      <c r="M712" s="3" t="s">
        <v>6969</v>
      </c>
      <c r="N712" s="3" t="s">
        <v>6970</v>
      </c>
      <c r="O712" s="3" t="s">
        <v>6971</v>
      </c>
      <c r="P712" s="3" t="s">
        <v>6972</v>
      </c>
      <c r="Q712" s="3" t="s">
        <v>6973</v>
      </c>
      <c r="R712" s="3" t="s">
        <v>6973</v>
      </c>
      <c r="S712" s="2" t="s">
        <v>38</v>
      </c>
      <c r="T712" s="2" t="s">
        <v>39</v>
      </c>
      <c r="U712" s="2" t="s">
        <v>40</v>
      </c>
      <c r="V712" s="3"/>
    </row>
    <row r="713" spans="1:22">
      <c r="A713" s="2">
        <v>712</v>
      </c>
      <c r="B713" s="3" t="s">
        <v>6863</v>
      </c>
      <c r="C713" s="3" t="s">
        <v>6974</v>
      </c>
      <c r="D713" s="3" t="s">
        <v>6975</v>
      </c>
      <c r="E713" s="2" t="s">
        <v>913</v>
      </c>
      <c r="F713" s="2" t="s">
        <v>43</v>
      </c>
      <c r="G713" s="3" t="s">
        <v>6976</v>
      </c>
      <c r="H713" s="2" t="s">
        <v>6977</v>
      </c>
      <c r="I713" s="3" t="s">
        <v>29</v>
      </c>
      <c r="J713" s="3" t="s">
        <v>6978</v>
      </c>
      <c r="K713" s="3" t="s">
        <v>272</v>
      </c>
      <c r="L713" s="3" t="s">
        <v>323</v>
      </c>
      <c r="M713" s="3" t="s">
        <v>6979</v>
      </c>
      <c r="N713" s="3" t="s">
        <v>6980</v>
      </c>
      <c r="O713" s="3" t="s">
        <v>6981</v>
      </c>
      <c r="P713" s="3" t="s">
        <v>6982</v>
      </c>
      <c r="Q713" s="3" t="s">
        <v>6983</v>
      </c>
      <c r="R713" s="3" t="s">
        <v>6983</v>
      </c>
      <c r="S713" s="2" t="s">
        <v>3054</v>
      </c>
      <c r="T713" s="2" t="s">
        <v>39</v>
      </c>
      <c r="U713" s="2" t="s">
        <v>40</v>
      </c>
      <c r="V713" s="3"/>
    </row>
    <row r="714" spans="1:22">
      <c r="A714" s="2">
        <v>713</v>
      </c>
      <c r="B714" s="3" t="s">
        <v>6863</v>
      </c>
      <c r="C714" s="3" t="s">
        <v>6984</v>
      </c>
      <c r="D714" s="3" t="s">
        <v>6985</v>
      </c>
      <c r="E714" s="2" t="s">
        <v>69</v>
      </c>
      <c r="F714" s="2" t="s">
        <v>43</v>
      </c>
      <c r="G714" s="3" t="s">
        <v>6986</v>
      </c>
      <c r="H714" s="2" t="s">
        <v>6987</v>
      </c>
      <c r="I714" s="3" t="s">
        <v>29</v>
      </c>
      <c r="J714" s="3" t="s">
        <v>6988</v>
      </c>
      <c r="K714" s="3" t="s">
        <v>47</v>
      </c>
      <c r="L714" s="3" t="s">
        <v>108</v>
      </c>
      <c r="M714" s="3" t="s">
        <v>6989</v>
      </c>
      <c r="N714" s="3" t="s">
        <v>6990</v>
      </c>
      <c r="O714" s="3" t="s">
        <v>6991</v>
      </c>
      <c r="P714" s="3" t="s">
        <v>6992</v>
      </c>
      <c r="Q714" s="3" t="s">
        <v>6993</v>
      </c>
      <c r="R714" s="3" t="s">
        <v>6993</v>
      </c>
      <c r="S714" s="2" t="s">
        <v>38</v>
      </c>
      <c r="T714" s="2" t="s">
        <v>39</v>
      </c>
      <c r="U714" s="2" t="s">
        <v>40</v>
      </c>
      <c r="V714" s="3"/>
    </row>
    <row r="715" spans="1:22">
      <c r="A715" s="2">
        <v>714</v>
      </c>
      <c r="B715" s="3" t="s">
        <v>6863</v>
      </c>
      <c r="C715" s="3" t="s">
        <v>6994</v>
      </c>
      <c r="D715" s="3" t="s">
        <v>6995</v>
      </c>
      <c r="E715" s="2" t="s">
        <v>621</v>
      </c>
      <c r="F715" s="2" t="s">
        <v>43</v>
      </c>
      <c r="G715" s="3" t="s">
        <v>6996</v>
      </c>
      <c r="H715" s="2" t="s">
        <v>6997</v>
      </c>
      <c r="I715" s="3" t="s">
        <v>29</v>
      </c>
      <c r="J715" s="3" t="s">
        <v>6998</v>
      </c>
      <c r="K715" s="3" t="s">
        <v>47</v>
      </c>
      <c r="L715" s="3" t="s">
        <v>293</v>
      </c>
      <c r="M715" s="3" t="s">
        <v>6999</v>
      </c>
      <c r="N715" s="3" t="s">
        <v>7000</v>
      </c>
      <c r="O715" s="3" t="s">
        <v>7001</v>
      </c>
      <c r="P715" s="3" t="s">
        <v>7002</v>
      </c>
      <c r="Q715" s="3" t="s">
        <v>7003</v>
      </c>
      <c r="R715" s="3" t="s">
        <v>7003</v>
      </c>
      <c r="S715" s="2" t="s">
        <v>38</v>
      </c>
      <c r="T715" s="2" t="s">
        <v>39</v>
      </c>
      <c r="U715" s="2" t="s">
        <v>40</v>
      </c>
      <c r="V715" s="3"/>
    </row>
    <row r="716" spans="1:22">
      <c r="A716" s="2">
        <v>715</v>
      </c>
      <c r="B716" s="3" t="s">
        <v>6863</v>
      </c>
      <c r="C716" s="3" t="s">
        <v>7004</v>
      </c>
      <c r="D716" s="3" t="s">
        <v>7005</v>
      </c>
      <c r="E716" s="2" t="s">
        <v>913</v>
      </c>
      <c r="F716" s="2" t="s">
        <v>43</v>
      </c>
      <c r="G716" s="3" t="s">
        <v>7006</v>
      </c>
      <c r="H716" s="2" t="s">
        <v>7007</v>
      </c>
      <c r="I716" s="3" t="s">
        <v>29</v>
      </c>
      <c r="J716" s="3" t="s">
        <v>7008</v>
      </c>
      <c r="K716" s="3" t="s">
        <v>120</v>
      </c>
      <c r="L716" s="3" t="s">
        <v>156</v>
      </c>
      <c r="M716" s="3" t="s">
        <v>1433</v>
      </c>
      <c r="N716" s="3" t="s">
        <v>7009</v>
      </c>
      <c r="O716" s="3" t="s">
        <v>7010</v>
      </c>
      <c r="P716" s="3" t="s">
        <v>7011</v>
      </c>
      <c r="Q716" s="3" t="s">
        <v>7012</v>
      </c>
      <c r="R716" s="3" t="s">
        <v>7012</v>
      </c>
      <c r="S716" s="2" t="s">
        <v>38</v>
      </c>
      <c r="T716" s="2" t="s">
        <v>39</v>
      </c>
      <c r="U716" s="2" t="s">
        <v>40</v>
      </c>
      <c r="V716" s="3"/>
    </row>
    <row r="717" spans="1:22">
      <c r="A717" s="2">
        <v>716</v>
      </c>
      <c r="B717" s="3" t="s">
        <v>6863</v>
      </c>
      <c r="C717" s="3" t="s">
        <v>7013</v>
      </c>
      <c r="D717" s="3" t="s">
        <v>7014</v>
      </c>
      <c r="E717" s="2" t="s">
        <v>116</v>
      </c>
      <c r="F717" s="2" t="s">
        <v>43</v>
      </c>
      <c r="G717" s="3" t="s">
        <v>7015</v>
      </c>
      <c r="H717" s="2" t="s">
        <v>7016</v>
      </c>
      <c r="I717" s="3" t="s">
        <v>29</v>
      </c>
      <c r="J717" s="3" t="s">
        <v>7017</v>
      </c>
      <c r="K717" s="3" t="s">
        <v>120</v>
      </c>
      <c r="L717" s="3" t="s">
        <v>156</v>
      </c>
      <c r="M717" s="3" t="s">
        <v>7018</v>
      </c>
      <c r="N717" s="3" t="s">
        <v>7019</v>
      </c>
      <c r="O717" s="3" t="s">
        <v>7020</v>
      </c>
      <c r="P717" s="3" t="s">
        <v>7021</v>
      </c>
      <c r="Q717" s="3" t="s">
        <v>7022</v>
      </c>
      <c r="R717" s="3" t="s">
        <v>7022</v>
      </c>
      <c r="S717" s="2" t="s">
        <v>38</v>
      </c>
      <c r="T717" s="2" t="s">
        <v>39</v>
      </c>
      <c r="U717" s="2" t="s">
        <v>40</v>
      </c>
      <c r="V717" s="3"/>
    </row>
    <row r="718" spans="1:22">
      <c r="A718" s="2">
        <v>717</v>
      </c>
      <c r="B718" s="3" t="s">
        <v>6863</v>
      </c>
      <c r="C718" s="3" t="s">
        <v>7023</v>
      </c>
      <c r="D718" s="3" t="s">
        <v>7024</v>
      </c>
      <c r="E718" s="2" t="s">
        <v>103</v>
      </c>
      <c r="F718" s="2" t="s">
        <v>43</v>
      </c>
      <c r="G718" s="3" t="s">
        <v>7025</v>
      </c>
      <c r="H718" s="2" t="s">
        <v>7026</v>
      </c>
      <c r="I718" s="3" t="s">
        <v>29</v>
      </c>
      <c r="J718" s="3" t="s">
        <v>7027</v>
      </c>
      <c r="K718" s="3" t="s">
        <v>47</v>
      </c>
      <c r="L718" s="3" t="s">
        <v>448</v>
      </c>
      <c r="M718" s="3" t="s">
        <v>7028</v>
      </c>
      <c r="N718" s="3" t="s">
        <v>7029</v>
      </c>
      <c r="O718" s="3" t="s">
        <v>7030</v>
      </c>
      <c r="P718" s="3" t="s">
        <v>7031</v>
      </c>
      <c r="Q718" s="3" t="s">
        <v>7032</v>
      </c>
      <c r="R718" s="3" t="s">
        <v>7032</v>
      </c>
      <c r="S718" s="2" t="s">
        <v>38</v>
      </c>
      <c r="T718" s="2" t="s">
        <v>39</v>
      </c>
      <c r="U718" s="2" t="s">
        <v>40</v>
      </c>
      <c r="V718" s="3"/>
    </row>
    <row r="719" spans="1:22">
      <c r="A719" s="2">
        <v>718</v>
      </c>
      <c r="B719" s="3" t="s">
        <v>6863</v>
      </c>
      <c r="C719" s="3" t="s">
        <v>7033</v>
      </c>
      <c r="D719" s="3" t="s">
        <v>7034</v>
      </c>
      <c r="E719" s="2" t="s">
        <v>257</v>
      </c>
      <c r="F719" s="2" t="s">
        <v>43</v>
      </c>
      <c r="G719" s="3" t="s">
        <v>7035</v>
      </c>
      <c r="H719" s="2" t="s">
        <v>7036</v>
      </c>
      <c r="I719" s="3" t="s">
        <v>29</v>
      </c>
      <c r="J719" s="3" t="s">
        <v>7037</v>
      </c>
      <c r="K719" s="3" t="s">
        <v>47</v>
      </c>
      <c r="L719" s="3" t="s">
        <v>145</v>
      </c>
      <c r="M719" s="3" t="s">
        <v>7038</v>
      </c>
      <c r="N719" s="3" t="s">
        <v>7039</v>
      </c>
      <c r="O719" s="3" t="s">
        <v>7040</v>
      </c>
      <c r="P719" s="3" t="s">
        <v>7041</v>
      </c>
      <c r="Q719" s="3" t="s">
        <v>7042</v>
      </c>
      <c r="R719" s="3" t="s">
        <v>7042</v>
      </c>
      <c r="S719" s="2" t="s">
        <v>38</v>
      </c>
      <c r="T719" s="2" t="s">
        <v>39</v>
      </c>
      <c r="U719" s="2" t="s">
        <v>40</v>
      </c>
      <c r="V719" s="3"/>
    </row>
    <row r="720" spans="1:22">
      <c r="A720" s="2">
        <v>719</v>
      </c>
      <c r="B720" s="3" t="s">
        <v>6863</v>
      </c>
      <c r="C720" s="3" t="s">
        <v>7043</v>
      </c>
      <c r="D720" s="3" t="s">
        <v>7044</v>
      </c>
      <c r="E720" s="2" t="s">
        <v>5863</v>
      </c>
      <c r="F720" s="2" t="s">
        <v>26</v>
      </c>
      <c r="G720" s="3" t="s">
        <v>7045</v>
      </c>
      <c r="H720" s="2" t="s">
        <v>7046</v>
      </c>
      <c r="I720" s="3" t="s">
        <v>29</v>
      </c>
      <c r="J720" s="3" t="s">
        <v>7047</v>
      </c>
      <c r="K720" s="3" t="s">
        <v>47</v>
      </c>
      <c r="L720" s="3" t="s">
        <v>132</v>
      </c>
      <c r="M720" s="3" t="s">
        <v>7048</v>
      </c>
      <c r="N720" s="3" t="s">
        <v>7049</v>
      </c>
      <c r="O720" s="3" t="s">
        <v>7050</v>
      </c>
      <c r="P720" s="3" t="s">
        <v>7051</v>
      </c>
      <c r="Q720" s="3" t="s">
        <v>7052</v>
      </c>
      <c r="R720" s="3" t="s">
        <v>7052</v>
      </c>
      <c r="S720" s="2" t="s">
        <v>38</v>
      </c>
      <c r="T720" s="2" t="s">
        <v>39</v>
      </c>
      <c r="U720" s="2" t="s">
        <v>40</v>
      </c>
      <c r="V720" s="3"/>
    </row>
    <row r="721" spans="1:22">
      <c r="A721" s="2">
        <v>720</v>
      </c>
      <c r="B721" s="3" t="s">
        <v>6863</v>
      </c>
      <c r="C721" s="3" t="s">
        <v>7053</v>
      </c>
      <c r="D721" s="3" t="s">
        <v>7054</v>
      </c>
      <c r="E721" s="2" t="s">
        <v>185</v>
      </c>
      <c r="F721" s="2" t="s">
        <v>26</v>
      </c>
      <c r="G721" s="3" t="s">
        <v>7055</v>
      </c>
      <c r="H721" s="2" t="s">
        <v>7056</v>
      </c>
      <c r="I721" s="3" t="s">
        <v>29</v>
      </c>
      <c r="J721" s="3" t="s">
        <v>7057</v>
      </c>
      <c r="K721" s="3" t="s">
        <v>47</v>
      </c>
      <c r="L721" s="3" t="s">
        <v>132</v>
      </c>
      <c r="M721" s="3" t="s">
        <v>7058</v>
      </c>
      <c r="N721" s="3" t="s">
        <v>7059</v>
      </c>
      <c r="O721" s="3" t="s">
        <v>7060</v>
      </c>
      <c r="P721" s="3" t="s">
        <v>7061</v>
      </c>
      <c r="Q721" s="3" t="s">
        <v>7062</v>
      </c>
      <c r="R721" s="3" t="s">
        <v>7062</v>
      </c>
      <c r="S721" s="2" t="s">
        <v>38</v>
      </c>
      <c r="T721" s="2" t="s">
        <v>39</v>
      </c>
      <c r="U721" s="2" t="s">
        <v>40</v>
      </c>
      <c r="V721" s="3"/>
    </row>
    <row r="722" spans="1:22">
      <c r="A722" s="2">
        <v>721</v>
      </c>
      <c r="B722" s="3" t="s">
        <v>6863</v>
      </c>
      <c r="C722" s="3" t="s">
        <v>7063</v>
      </c>
      <c r="D722" s="3" t="s">
        <v>7064</v>
      </c>
      <c r="E722" s="2" t="s">
        <v>128</v>
      </c>
      <c r="F722" s="2" t="s">
        <v>26</v>
      </c>
      <c r="G722" s="3" t="s">
        <v>7065</v>
      </c>
      <c r="H722" s="2" t="s">
        <v>7066</v>
      </c>
      <c r="I722" s="3" t="s">
        <v>29</v>
      </c>
      <c r="J722" s="3" t="s">
        <v>7067</v>
      </c>
      <c r="K722" s="3" t="s">
        <v>47</v>
      </c>
      <c r="L722" s="3" t="s">
        <v>32</v>
      </c>
      <c r="M722" s="3" t="s">
        <v>7068</v>
      </c>
      <c r="N722" s="3" t="s">
        <v>7069</v>
      </c>
      <c r="O722" s="3" t="s">
        <v>7070</v>
      </c>
      <c r="P722" s="3" t="s">
        <v>7071</v>
      </c>
      <c r="Q722" s="3" t="s">
        <v>7072</v>
      </c>
      <c r="R722" s="3" t="s">
        <v>7072</v>
      </c>
      <c r="S722" s="2" t="s">
        <v>38</v>
      </c>
      <c r="T722" s="2" t="s">
        <v>39</v>
      </c>
      <c r="U722" s="2" t="s">
        <v>40</v>
      </c>
      <c r="V722" s="3"/>
    </row>
    <row r="723" spans="1:22">
      <c r="A723" s="2">
        <v>722</v>
      </c>
      <c r="B723" s="3" t="s">
        <v>6863</v>
      </c>
      <c r="C723" s="3" t="s">
        <v>7073</v>
      </c>
      <c r="D723" s="3" t="s">
        <v>7074</v>
      </c>
      <c r="E723" s="2" t="s">
        <v>383</v>
      </c>
      <c r="F723" s="2" t="s">
        <v>26</v>
      </c>
      <c r="G723" s="3" t="s">
        <v>7075</v>
      </c>
      <c r="H723" s="2" t="s">
        <v>7076</v>
      </c>
      <c r="I723" s="3" t="s">
        <v>29</v>
      </c>
      <c r="J723" s="3" t="s">
        <v>7077</v>
      </c>
      <c r="K723" s="3" t="s">
        <v>365</v>
      </c>
      <c r="L723" s="3" t="s">
        <v>167</v>
      </c>
      <c r="M723" s="3" t="s">
        <v>7078</v>
      </c>
      <c r="N723" s="3" t="s">
        <v>7079</v>
      </c>
      <c r="O723" s="3" t="s">
        <v>7080</v>
      </c>
      <c r="P723" s="3" t="s">
        <v>7081</v>
      </c>
      <c r="Q723" s="3" t="s">
        <v>7082</v>
      </c>
      <c r="R723" s="3" t="s">
        <v>7082</v>
      </c>
      <c r="S723" s="2" t="s">
        <v>38</v>
      </c>
      <c r="T723" s="2" t="s">
        <v>39</v>
      </c>
      <c r="U723" s="2" t="s">
        <v>40</v>
      </c>
      <c r="V723" s="3"/>
    </row>
    <row r="724" spans="1:22">
      <c r="A724" s="2">
        <v>723</v>
      </c>
      <c r="B724" s="3" t="s">
        <v>6863</v>
      </c>
      <c r="C724" s="3" t="s">
        <v>7083</v>
      </c>
      <c r="D724" s="3" t="s">
        <v>7084</v>
      </c>
      <c r="E724" s="2" t="s">
        <v>116</v>
      </c>
      <c r="F724" s="2" t="s">
        <v>26</v>
      </c>
      <c r="G724" s="3" t="s">
        <v>7085</v>
      </c>
      <c r="H724" s="2" t="s">
        <v>7086</v>
      </c>
      <c r="I724" s="3" t="s">
        <v>29</v>
      </c>
      <c r="J724" s="3" t="s">
        <v>7087</v>
      </c>
      <c r="K724" s="3" t="s">
        <v>272</v>
      </c>
      <c r="L724" s="3" t="s">
        <v>323</v>
      </c>
      <c r="M724" s="3" t="s">
        <v>7088</v>
      </c>
      <c r="N724" s="3" t="s">
        <v>7089</v>
      </c>
      <c r="O724" s="3" t="s">
        <v>7090</v>
      </c>
      <c r="P724" s="3" t="s">
        <v>7091</v>
      </c>
      <c r="Q724" s="3" t="s">
        <v>7092</v>
      </c>
      <c r="R724" s="3" t="s">
        <v>7092</v>
      </c>
      <c r="S724" s="2" t="s">
        <v>38</v>
      </c>
      <c r="T724" s="2" t="s">
        <v>39</v>
      </c>
      <c r="U724" s="2" t="s">
        <v>40</v>
      </c>
      <c r="V724" s="3"/>
    </row>
    <row r="725" spans="1:22">
      <c r="A725" s="2">
        <v>724</v>
      </c>
      <c r="B725" s="3" t="s">
        <v>6863</v>
      </c>
      <c r="C725" s="3" t="s">
        <v>7093</v>
      </c>
      <c r="D725" s="3" t="s">
        <v>7094</v>
      </c>
      <c r="E725" s="2" t="s">
        <v>351</v>
      </c>
      <c r="F725" s="2" t="s">
        <v>26</v>
      </c>
      <c r="G725" s="3" t="s">
        <v>7095</v>
      </c>
      <c r="H725" s="2" t="s">
        <v>7096</v>
      </c>
      <c r="I725" s="3" t="s">
        <v>29</v>
      </c>
      <c r="J725" s="3" t="s">
        <v>7097</v>
      </c>
      <c r="K725" s="3" t="s">
        <v>47</v>
      </c>
      <c r="L725" s="3" t="s">
        <v>132</v>
      </c>
      <c r="M725" s="3" t="s">
        <v>7098</v>
      </c>
      <c r="N725" s="3" t="s">
        <v>7099</v>
      </c>
      <c r="O725" s="3" t="s">
        <v>7100</v>
      </c>
      <c r="P725" s="3" t="s">
        <v>7101</v>
      </c>
      <c r="Q725" s="3" t="s">
        <v>7102</v>
      </c>
      <c r="R725" s="3" t="s">
        <v>7102</v>
      </c>
      <c r="S725" s="2" t="s">
        <v>38</v>
      </c>
      <c r="T725" s="2" t="s">
        <v>39</v>
      </c>
      <c r="U725" s="2" t="s">
        <v>40</v>
      </c>
      <c r="V725" s="3"/>
    </row>
    <row r="726" spans="1:22">
      <c r="A726" s="2">
        <v>725</v>
      </c>
      <c r="B726" s="3" t="s">
        <v>6863</v>
      </c>
      <c r="C726" s="3" t="s">
        <v>7103</v>
      </c>
      <c r="D726" s="3" t="s">
        <v>7104</v>
      </c>
      <c r="E726" s="2" t="s">
        <v>351</v>
      </c>
      <c r="F726" s="2" t="s">
        <v>26</v>
      </c>
      <c r="G726" s="3" t="s">
        <v>7105</v>
      </c>
      <c r="H726" s="2" t="s">
        <v>7106</v>
      </c>
      <c r="I726" s="3" t="s">
        <v>29</v>
      </c>
      <c r="J726" s="3" t="s">
        <v>7107</v>
      </c>
      <c r="K726" s="3" t="s">
        <v>47</v>
      </c>
      <c r="L726" s="3" t="s">
        <v>1695</v>
      </c>
      <c r="M726" s="3" t="s">
        <v>7108</v>
      </c>
      <c r="N726" s="3" t="s">
        <v>7109</v>
      </c>
      <c r="O726" s="3" t="s">
        <v>7110</v>
      </c>
      <c r="P726" s="3" t="s">
        <v>7111</v>
      </c>
      <c r="Q726" s="3" t="s">
        <v>7112</v>
      </c>
      <c r="R726" s="3" t="s">
        <v>7112</v>
      </c>
      <c r="S726" s="2" t="s">
        <v>38</v>
      </c>
      <c r="T726" s="2" t="s">
        <v>39</v>
      </c>
      <c r="U726" s="2" t="s">
        <v>40</v>
      </c>
      <c r="V726" s="3"/>
    </row>
    <row r="727" spans="1:22">
      <c r="A727" s="2">
        <v>726</v>
      </c>
      <c r="B727" s="3" t="s">
        <v>6863</v>
      </c>
      <c r="C727" s="3" t="s">
        <v>7113</v>
      </c>
      <c r="D727" s="3" t="s">
        <v>7114</v>
      </c>
      <c r="E727" s="2" t="s">
        <v>69</v>
      </c>
      <c r="F727" s="2" t="s">
        <v>26</v>
      </c>
      <c r="G727" s="3" t="s">
        <v>7115</v>
      </c>
      <c r="H727" s="2" t="s">
        <v>7116</v>
      </c>
      <c r="I727" s="3" t="s">
        <v>29</v>
      </c>
      <c r="J727" s="3" t="s">
        <v>7117</v>
      </c>
      <c r="K727" s="3" t="s">
        <v>107</v>
      </c>
      <c r="L727" s="3" t="s">
        <v>32</v>
      </c>
      <c r="M727" s="3" t="s">
        <v>7118</v>
      </c>
      <c r="N727" s="3" t="s">
        <v>7119</v>
      </c>
      <c r="O727" s="3" t="s">
        <v>7120</v>
      </c>
      <c r="P727" s="3" t="s">
        <v>7121</v>
      </c>
      <c r="Q727" s="3" t="s">
        <v>7122</v>
      </c>
      <c r="R727" s="3" t="s">
        <v>7122</v>
      </c>
      <c r="S727" s="2" t="s">
        <v>3054</v>
      </c>
      <c r="T727" s="2" t="s">
        <v>39</v>
      </c>
      <c r="U727" s="2" t="s">
        <v>40</v>
      </c>
      <c r="V727" s="3"/>
    </row>
    <row r="728" spans="1:22">
      <c r="A728" s="2">
        <v>727</v>
      </c>
      <c r="B728" s="3" t="s">
        <v>6863</v>
      </c>
      <c r="C728" s="3" t="s">
        <v>7123</v>
      </c>
      <c r="D728" s="3" t="s">
        <v>6645</v>
      </c>
      <c r="E728" s="2" t="s">
        <v>773</v>
      </c>
      <c r="F728" s="2" t="s">
        <v>26</v>
      </c>
      <c r="G728" s="3" t="s">
        <v>7124</v>
      </c>
      <c r="H728" s="2" t="s">
        <v>7125</v>
      </c>
      <c r="I728" s="3" t="s">
        <v>29</v>
      </c>
      <c r="J728" s="3" t="s">
        <v>7126</v>
      </c>
      <c r="K728" s="3" t="s">
        <v>47</v>
      </c>
      <c r="L728" s="3" t="s">
        <v>323</v>
      </c>
      <c r="M728" s="3" t="s">
        <v>7127</v>
      </c>
      <c r="N728" s="3" t="s">
        <v>7128</v>
      </c>
      <c r="O728" s="3" t="s">
        <v>7129</v>
      </c>
      <c r="P728" s="3" t="s">
        <v>7130</v>
      </c>
      <c r="Q728" s="3" t="s">
        <v>7131</v>
      </c>
      <c r="R728" s="3" t="s">
        <v>7131</v>
      </c>
      <c r="S728" s="2" t="s">
        <v>38</v>
      </c>
      <c r="T728" s="2" t="s">
        <v>39</v>
      </c>
      <c r="U728" s="2" t="s">
        <v>40</v>
      </c>
      <c r="V728" s="3"/>
    </row>
    <row r="729" spans="1:22">
      <c r="A729" s="2">
        <v>728</v>
      </c>
      <c r="B729" s="3" t="s">
        <v>6863</v>
      </c>
      <c r="C729" s="3" t="s">
        <v>7132</v>
      </c>
      <c r="D729" s="3" t="s">
        <v>7133</v>
      </c>
      <c r="E729" s="2" t="s">
        <v>913</v>
      </c>
      <c r="F729" s="2" t="s">
        <v>26</v>
      </c>
      <c r="G729" s="3" t="s">
        <v>7134</v>
      </c>
      <c r="H729" s="2" t="s">
        <v>7135</v>
      </c>
      <c r="I729" s="3" t="s">
        <v>29</v>
      </c>
      <c r="J729" s="3" t="s">
        <v>7136</v>
      </c>
      <c r="K729" s="3" t="s">
        <v>31</v>
      </c>
      <c r="L729" s="3" t="s">
        <v>293</v>
      </c>
      <c r="M729" s="3" t="s">
        <v>7137</v>
      </c>
      <c r="N729" s="3" t="s">
        <v>7138</v>
      </c>
      <c r="O729" s="3" t="s">
        <v>7139</v>
      </c>
      <c r="P729" s="3" t="s">
        <v>7140</v>
      </c>
      <c r="Q729" s="3" t="s">
        <v>7141</v>
      </c>
      <c r="R729" s="3" t="s">
        <v>7141</v>
      </c>
      <c r="S729" s="2" t="s">
        <v>3054</v>
      </c>
      <c r="T729" s="2" t="s">
        <v>39</v>
      </c>
      <c r="U729" s="2" t="s">
        <v>40</v>
      </c>
      <c r="V729" s="3"/>
    </row>
    <row r="730" spans="1:22">
      <c r="A730" s="2">
        <v>729</v>
      </c>
      <c r="B730" s="3" t="s">
        <v>6863</v>
      </c>
      <c r="C730" s="3" t="s">
        <v>7142</v>
      </c>
      <c r="D730" s="3" t="s">
        <v>7143</v>
      </c>
      <c r="E730" s="2" t="s">
        <v>913</v>
      </c>
      <c r="F730" s="2" t="s">
        <v>26</v>
      </c>
      <c r="G730" s="3" t="s">
        <v>7144</v>
      </c>
      <c r="H730" s="2" t="s">
        <v>7145</v>
      </c>
      <c r="I730" s="3" t="s">
        <v>29</v>
      </c>
      <c r="J730" s="3" t="s">
        <v>7146</v>
      </c>
      <c r="K730" s="3" t="s">
        <v>47</v>
      </c>
      <c r="L730" s="3" t="s">
        <v>167</v>
      </c>
      <c r="M730" s="3" t="s">
        <v>7147</v>
      </c>
      <c r="N730" s="3" t="s">
        <v>7148</v>
      </c>
      <c r="O730" s="3" t="s">
        <v>7149</v>
      </c>
      <c r="P730" s="3" t="s">
        <v>7150</v>
      </c>
      <c r="Q730" s="3" t="s">
        <v>7151</v>
      </c>
      <c r="R730" s="3" t="s">
        <v>7151</v>
      </c>
      <c r="S730" s="2" t="s">
        <v>3054</v>
      </c>
      <c r="T730" s="2" t="s">
        <v>39</v>
      </c>
      <c r="U730" s="2" t="s">
        <v>40</v>
      </c>
      <c r="V730" s="3"/>
    </row>
    <row r="731" spans="1:22">
      <c r="A731" s="2">
        <v>730</v>
      </c>
      <c r="B731" s="3" t="s">
        <v>6863</v>
      </c>
      <c r="C731" s="3" t="s">
        <v>7152</v>
      </c>
      <c r="D731" s="3" t="s">
        <v>7153</v>
      </c>
      <c r="E731" s="2" t="s">
        <v>404</v>
      </c>
      <c r="F731" s="2" t="s">
        <v>26</v>
      </c>
      <c r="G731" s="3" t="s">
        <v>7154</v>
      </c>
      <c r="H731" s="2" t="s">
        <v>7155</v>
      </c>
      <c r="I731" s="3" t="s">
        <v>29</v>
      </c>
      <c r="J731" s="3" t="s">
        <v>7156</v>
      </c>
      <c r="K731" s="3" t="s">
        <v>31</v>
      </c>
      <c r="L731" s="3" t="s">
        <v>167</v>
      </c>
      <c r="M731" s="3" t="s">
        <v>7157</v>
      </c>
      <c r="N731" s="3" t="s">
        <v>7158</v>
      </c>
      <c r="O731" s="3" t="s">
        <v>7159</v>
      </c>
      <c r="P731" s="3" t="s">
        <v>7160</v>
      </c>
      <c r="Q731" s="3" t="s">
        <v>7161</v>
      </c>
      <c r="R731" s="3" t="s">
        <v>7161</v>
      </c>
      <c r="S731" s="2" t="s">
        <v>38</v>
      </c>
      <c r="T731" s="2" t="s">
        <v>39</v>
      </c>
      <c r="U731" s="2" t="s">
        <v>40</v>
      </c>
      <c r="V731" s="3"/>
    </row>
    <row r="732" spans="1:22">
      <c r="A732" s="2">
        <v>731</v>
      </c>
      <c r="B732" s="3" t="s">
        <v>6863</v>
      </c>
      <c r="C732" s="3" t="s">
        <v>7162</v>
      </c>
      <c r="D732" s="3" t="s">
        <v>7163</v>
      </c>
      <c r="E732" s="2" t="s">
        <v>506</v>
      </c>
      <c r="F732" s="2" t="s">
        <v>26</v>
      </c>
      <c r="G732" s="3" t="s">
        <v>7164</v>
      </c>
      <c r="H732" s="2" t="s">
        <v>7165</v>
      </c>
      <c r="I732" s="3" t="s">
        <v>29</v>
      </c>
      <c r="J732" s="3" t="s">
        <v>7166</v>
      </c>
      <c r="K732" s="3" t="s">
        <v>47</v>
      </c>
      <c r="L732" s="3" t="s">
        <v>145</v>
      </c>
      <c r="M732" s="3" t="s">
        <v>7167</v>
      </c>
      <c r="N732" s="3" t="s">
        <v>7168</v>
      </c>
      <c r="O732" s="3" t="s">
        <v>7169</v>
      </c>
      <c r="P732" s="3" t="s">
        <v>7170</v>
      </c>
      <c r="Q732" s="3" t="s">
        <v>7171</v>
      </c>
      <c r="R732" s="3" t="s">
        <v>7171</v>
      </c>
      <c r="S732" s="2" t="s">
        <v>38</v>
      </c>
      <c r="T732" s="2" t="s">
        <v>39</v>
      </c>
      <c r="U732" s="2" t="s">
        <v>40</v>
      </c>
      <c r="V732" s="3"/>
    </row>
    <row r="733" spans="1:22">
      <c r="A733" s="2">
        <v>732</v>
      </c>
      <c r="B733" s="3" t="s">
        <v>6863</v>
      </c>
      <c r="C733" s="3" t="s">
        <v>7172</v>
      </c>
      <c r="D733" s="3" t="s">
        <v>7173</v>
      </c>
      <c r="E733" s="2" t="s">
        <v>506</v>
      </c>
      <c r="F733" s="2" t="s">
        <v>26</v>
      </c>
      <c r="G733" s="3" t="s">
        <v>7174</v>
      </c>
      <c r="H733" s="2" t="s">
        <v>7175</v>
      </c>
      <c r="I733" s="3" t="s">
        <v>29</v>
      </c>
      <c r="J733" s="3" t="s">
        <v>7176</v>
      </c>
      <c r="K733" s="3" t="s">
        <v>47</v>
      </c>
      <c r="L733" s="3" t="s">
        <v>145</v>
      </c>
      <c r="M733" s="3" t="s">
        <v>7177</v>
      </c>
      <c r="N733" s="3" t="s">
        <v>7178</v>
      </c>
      <c r="O733" s="3" t="s">
        <v>7179</v>
      </c>
      <c r="P733" s="3" t="s">
        <v>7180</v>
      </c>
      <c r="Q733" s="3" t="s">
        <v>7181</v>
      </c>
      <c r="R733" s="3" t="s">
        <v>7181</v>
      </c>
      <c r="S733" s="2" t="s">
        <v>38</v>
      </c>
      <c r="T733" s="2" t="s">
        <v>39</v>
      </c>
      <c r="U733" s="2" t="s">
        <v>40</v>
      </c>
      <c r="V733" s="3"/>
    </row>
    <row r="734" spans="1:22">
      <c r="A734" s="2">
        <v>733</v>
      </c>
      <c r="B734" s="3" t="s">
        <v>6863</v>
      </c>
      <c r="C734" s="3" t="s">
        <v>7182</v>
      </c>
      <c r="D734" s="3" t="s">
        <v>7183</v>
      </c>
      <c r="E734" s="2" t="s">
        <v>351</v>
      </c>
      <c r="F734" s="2" t="s">
        <v>26</v>
      </c>
      <c r="G734" s="3" t="s">
        <v>7184</v>
      </c>
      <c r="H734" s="2" t="s">
        <v>7185</v>
      </c>
      <c r="I734" s="3" t="s">
        <v>29</v>
      </c>
      <c r="J734" s="3" t="s">
        <v>7186</v>
      </c>
      <c r="K734" s="3" t="s">
        <v>107</v>
      </c>
      <c r="L734" s="3" t="s">
        <v>32</v>
      </c>
      <c r="M734" s="3" t="s">
        <v>7187</v>
      </c>
      <c r="N734" s="3" t="s">
        <v>7188</v>
      </c>
      <c r="O734" s="3" t="s">
        <v>7189</v>
      </c>
      <c r="P734" s="3" t="s">
        <v>7190</v>
      </c>
      <c r="Q734" s="3" t="s">
        <v>7191</v>
      </c>
      <c r="R734" s="3" t="s">
        <v>7191</v>
      </c>
      <c r="S734" s="2" t="s">
        <v>38</v>
      </c>
      <c r="T734" s="2" t="s">
        <v>39</v>
      </c>
      <c r="U734" s="2" t="s">
        <v>40</v>
      </c>
      <c r="V734" s="3"/>
    </row>
    <row r="735" spans="1:22">
      <c r="A735" s="2">
        <v>734</v>
      </c>
      <c r="B735" s="3" t="s">
        <v>6863</v>
      </c>
      <c r="C735" s="3" t="s">
        <v>7192</v>
      </c>
      <c r="D735" s="3" t="s">
        <v>7193</v>
      </c>
      <c r="E735" s="2" t="s">
        <v>404</v>
      </c>
      <c r="F735" s="2" t="s">
        <v>26</v>
      </c>
      <c r="G735" s="3" t="s">
        <v>7194</v>
      </c>
      <c r="H735" s="2" t="s">
        <v>7195</v>
      </c>
      <c r="I735" s="3" t="s">
        <v>29</v>
      </c>
      <c r="J735" s="3" t="s">
        <v>7196</v>
      </c>
      <c r="K735" s="3" t="s">
        <v>47</v>
      </c>
      <c r="L735" s="3" t="s">
        <v>323</v>
      </c>
      <c r="M735" s="3" t="s">
        <v>7197</v>
      </c>
      <c r="N735" s="3" t="s">
        <v>7198</v>
      </c>
      <c r="O735" s="3" t="s">
        <v>7199</v>
      </c>
      <c r="P735" s="3" t="s">
        <v>7200</v>
      </c>
      <c r="Q735" s="3" t="s">
        <v>7201</v>
      </c>
      <c r="R735" s="3" t="s">
        <v>7201</v>
      </c>
      <c r="S735" s="2" t="s">
        <v>38</v>
      </c>
      <c r="T735" s="2" t="s">
        <v>39</v>
      </c>
      <c r="U735" s="2" t="s">
        <v>40</v>
      </c>
      <c r="V735" s="3"/>
    </row>
    <row r="736" spans="1:22">
      <c r="A736" s="2">
        <v>735</v>
      </c>
      <c r="B736" s="3" t="s">
        <v>6863</v>
      </c>
      <c r="C736" s="3" t="s">
        <v>7202</v>
      </c>
      <c r="D736" s="3" t="s">
        <v>7203</v>
      </c>
      <c r="E736" s="2" t="s">
        <v>103</v>
      </c>
      <c r="F736" s="2" t="s">
        <v>26</v>
      </c>
      <c r="G736" s="3" t="s">
        <v>7204</v>
      </c>
      <c r="H736" s="2" t="s">
        <v>7205</v>
      </c>
      <c r="I736" s="3" t="s">
        <v>29</v>
      </c>
      <c r="J736" s="3" t="s">
        <v>7206</v>
      </c>
      <c r="K736" s="3" t="s">
        <v>47</v>
      </c>
      <c r="L736" s="3" t="s">
        <v>323</v>
      </c>
      <c r="M736" s="3" t="s">
        <v>7207</v>
      </c>
      <c r="N736" s="3" t="s">
        <v>7208</v>
      </c>
      <c r="O736" s="3" t="s">
        <v>7209</v>
      </c>
      <c r="P736" s="3" t="s">
        <v>7210</v>
      </c>
      <c r="Q736" s="3" t="s">
        <v>7211</v>
      </c>
      <c r="R736" s="3" t="s">
        <v>7211</v>
      </c>
      <c r="S736" s="2" t="s">
        <v>3054</v>
      </c>
      <c r="T736" s="2" t="s">
        <v>39</v>
      </c>
      <c r="U736" s="2" t="s">
        <v>40</v>
      </c>
      <c r="V736" s="3"/>
    </row>
    <row r="737" spans="1:22">
      <c r="A737" s="2">
        <v>736</v>
      </c>
      <c r="B737" s="3" t="s">
        <v>6863</v>
      </c>
      <c r="C737" s="3" t="s">
        <v>7212</v>
      </c>
      <c r="D737" s="3" t="s">
        <v>7213</v>
      </c>
      <c r="E737" s="2" t="s">
        <v>383</v>
      </c>
      <c r="F737" s="2" t="s">
        <v>26</v>
      </c>
      <c r="G737" s="3" t="s">
        <v>7214</v>
      </c>
      <c r="H737" s="2" t="s">
        <v>7215</v>
      </c>
      <c r="I737" s="3" t="s">
        <v>29</v>
      </c>
      <c r="J737" s="3" t="s">
        <v>7216</v>
      </c>
      <c r="K737" s="3" t="s">
        <v>47</v>
      </c>
      <c r="L737" s="3" t="s">
        <v>323</v>
      </c>
      <c r="M737" s="3" t="s">
        <v>7217</v>
      </c>
      <c r="N737" s="3" t="s">
        <v>7218</v>
      </c>
      <c r="O737" s="3" t="s">
        <v>7219</v>
      </c>
      <c r="P737" s="3" t="s">
        <v>7220</v>
      </c>
      <c r="Q737" s="3" t="s">
        <v>7221</v>
      </c>
      <c r="R737" s="3" t="s">
        <v>7221</v>
      </c>
      <c r="S737" s="2" t="s">
        <v>38</v>
      </c>
      <c r="T737" s="2" t="s">
        <v>39</v>
      </c>
      <c r="U737" s="2" t="s">
        <v>40</v>
      </c>
      <c r="V737" s="3"/>
    </row>
    <row r="738" spans="1:22">
      <c r="A738" s="2">
        <v>737</v>
      </c>
      <c r="B738" s="3" t="s">
        <v>6863</v>
      </c>
      <c r="C738" s="3" t="s">
        <v>7222</v>
      </c>
      <c r="D738" s="3" t="s">
        <v>7223</v>
      </c>
      <c r="E738" s="2" t="s">
        <v>116</v>
      </c>
      <c r="F738" s="2" t="s">
        <v>26</v>
      </c>
      <c r="G738" s="3" t="s">
        <v>7224</v>
      </c>
      <c r="H738" s="2" t="s">
        <v>7225</v>
      </c>
      <c r="I738" s="3" t="s">
        <v>29</v>
      </c>
      <c r="J738" s="3" t="s">
        <v>7226</v>
      </c>
      <c r="K738" s="3" t="s">
        <v>47</v>
      </c>
      <c r="L738" s="3" t="s">
        <v>73</v>
      </c>
      <c r="M738" s="3" t="s">
        <v>7227</v>
      </c>
      <c r="N738" s="3" t="s">
        <v>7228</v>
      </c>
      <c r="O738" s="3" t="s">
        <v>7229</v>
      </c>
      <c r="P738" s="3" t="s">
        <v>7230</v>
      </c>
      <c r="Q738" s="3" t="s">
        <v>7231</v>
      </c>
      <c r="R738" s="3" t="s">
        <v>7231</v>
      </c>
      <c r="S738" s="2" t="s">
        <v>38</v>
      </c>
      <c r="T738" s="2" t="s">
        <v>39</v>
      </c>
      <c r="U738" s="2" t="s">
        <v>40</v>
      </c>
      <c r="V738" s="3"/>
    </row>
    <row r="739" spans="1:22">
      <c r="A739" s="2">
        <v>738</v>
      </c>
      <c r="B739" s="3" t="s">
        <v>6863</v>
      </c>
      <c r="C739" s="3" t="s">
        <v>7232</v>
      </c>
      <c r="D739" s="3" t="s">
        <v>7233</v>
      </c>
      <c r="E739" s="2" t="s">
        <v>1017</v>
      </c>
      <c r="F739" s="2" t="s">
        <v>26</v>
      </c>
      <c r="G739" s="3" t="s">
        <v>7234</v>
      </c>
      <c r="H739" s="2" t="s">
        <v>7235</v>
      </c>
      <c r="I739" s="3" t="s">
        <v>29</v>
      </c>
      <c r="J739" s="3" t="s">
        <v>7236</v>
      </c>
      <c r="K739" s="3" t="s">
        <v>365</v>
      </c>
      <c r="L739" s="3" t="s">
        <v>323</v>
      </c>
      <c r="M739" s="3" t="s">
        <v>7237</v>
      </c>
      <c r="N739" s="3" t="s">
        <v>7238</v>
      </c>
      <c r="O739" s="3" t="s">
        <v>7239</v>
      </c>
      <c r="P739" s="3" t="s">
        <v>7240</v>
      </c>
      <c r="Q739" s="3" t="s">
        <v>7241</v>
      </c>
      <c r="R739" s="3" t="s">
        <v>7241</v>
      </c>
      <c r="S739" s="2" t="s">
        <v>38</v>
      </c>
      <c r="T739" s="2" t="s">
        <v>39</v>
      </c>
      <c r="U739" s="2" t="s">
        <v>40</v>
      </c>
      <c r="V739" s="3"/>
    </row>
    <row r="740" spans="1:22">
      <c r="A740" s="2">
        <v>739</v>
      </c>
      <c r="B740" s="3" t="s">
        <v>6863</v>
      </c>
      <c r="C740" s="3" t="s">
        <v>7242</v>
      </c>
      <c r="D740" s="3" t="s">
        <v>7243</v>
      </c>
      <c r="E740" s="2" t="s">
        <v>56</v>
      </c>
      <c r="F740" s="2" t="s">
        <v>26</v>
      </c>
      <c r="G740" s="3" t="s">
        <v>7244</v>
      </c>
      <c r="H740" s="2" t="s">
        <v>7245</v>
      </c>
      <c r="I740" s="3" t="s">
        <v>29</v>
      </c>
      <c r="J740" s="3" t="s">
        <v>7246</v>
      </c>
      <c r="K740" s="3" t="s">
        <v>107</v>
      </c>
      <c r="L740" s="3" t="s">
        <v>1695</v>
      </c>
      <c r="M740" s="3" t="s">
        <v>7247</v>
      </c>
      <c r="N740" s="3" t="s">
        <v>7248</v>
      </c>
      <c r="O740" s="3" t="s">
        <v>7249</v>
      </c>
      <c r="P740" s="3" t="s">
        <v>7250</v>
      </c>
      <c r="Q740" s="3" t="s">
        <v>7251</v>
      </c>
      <c r="R740" s="3" t="s">
        <v>7251</v>
      </c>
      <c r="S740" s="2" t="s">
        <v>38</v>
      </c>
      <c r="T740" s="2" t="s">
        <v>39</v>
      </c>
      <c r="U740" s="2" t="s">
        <v>40</v>
      </c>
      <c r="V740" s="3"/>
    </row>
    <row r="741" spans="1:22">
      <c r="A741" s="2">
        <v>740</v>
      </c>
      <c r="B741" s="3" t="s">
        <v>6863</v>
      </c>
      <c r="C741" s="3" t="s">
        <v>7252</v>
      </c>
      <c r="D741" s="3" t="s">
        <v>7253</v>
      </c>
      <c r="E741" s="2" t="s">
        <v>103</v>
      </c>
      <c r="F741" s="2" t="s">
        <v>43</v>
      </c>
      <c r="G741" s="3" t="s">
        <v>7254</v>
      </c>
      <c r="H741" s="2" t="s">
        <v>7255</v>
      </c>
      <c r="I741" s="3" t="s">
        <v>29</v>
      </c>
      <c r="J741" s="3" t="s">
        <v>7256</v>
      </c>
      <c r="K741" s="3" t="s">
        <v>47</v>
      </c>
      <c r="L741" s="3" t="s">
        <v>132</v>
      </c>
      <c r="M741" s="3" t="s">
        <v>7257</v>
      </c>
      <c r="N741" s="3" t="s">
        <v>7258</v>
      </c>
      <c r="O741" s="3" t="s">
        <v>7259</v>
      </c>
      <c r="P741" s="3" t="s">
        <v>7260</v>
      </c>
      <c r="Q741" s="3" t="s">
        <v>7261</v>
      </c>
      <c r="R741" s="3" t="s">
        <v>7261</v>
      </c>
      <c r="S741" s="2" t="s">
        <v>38</v>
      </c>
      <c r="T741" s="2" t="s">
        <v>39</v>
      </c>
      <c r="U741" s="2" t="s">
        <v>40</v>
      </c>
      <c r="V741" s="3"/>
    </row>
    <row r="742" spans="1:22">
      <c r="A742" s="2">
        <v>741</v>
      </c>
      <c r="B742" s="3" t="s">
        <v>6863</v>
      </c>
      <c r="C742" s="3" t="s">
        <v>7262</v>
      </c>
      <c r="D742" s="3" t="s">
        <v>7263</v>
      </c>
      <c r="E742" s="2" t="s">
        <v>206</v>
      </c>
      <c r="F742" s="2" t="s">
        <v>43</v>
      </c>
      <c r="G742" s="3"/>
      <c r="H742" s="2" t="s">
        <v>7264</v>
      </c>
      <c r="I742" s="3" t="s">
        <v>29</v>
      </c>
      <c r="J742" s="3" t="s">
        <v>7265</v>
      </c>
      <c r="K742" s="3" t="s">
        <v>47</v>
      </c>
      <c r="L742" s="3" t="s">
        <v>132</v>
      </c>
      <c r="M742" s="3" t="s">
        <v>7266</v>
      </c>
      <c r="N742" s="3" t="s">
        <v>7267</v>
      </c>
      <c r="O742" s="3" t="s">
        <v>7268</v>
      </c>
      <c r="P742" s="3" t="s">
        <v>7269</v>
      </c>
      <c r="Q742" s="3" t="s">
        <v>7270</v>
      </c>
      <c r="R742" s="3" t="s">
        <v>7270</v>
      </c>
      <c r="S742" s="2" t="s">
        <v>3054</v>
      </c>
      <c r="T742" s="2" t="s">
        <v>39</v>
      </c>
      <c r="U742" s="2" t="s">
        <v>40</v>
      </c>
      <c r="V742" s="3"/>
    </row>
    <row r="743" spans="1:22">
      <c r="A743" s="2">
        <v>742</v>
      </c>
      <c r="B743" s="3" t="s">
        <v>6863</v>
      </c>
      <c r="C743" s="3" t="s">
        <v>7271</v>
      </c>
      <c r="D743" s="3" t="s">
        <v>7272</v>
      </c>
      <c r="E743" s="2" t="s">
        <v>103</v>
      </c>
      <c r="F743" s="2" t="s">
        <v>43</v>
      </c>
      <c r="G743" s="3" t="s">
        <v>7273</v>
      </c>
      <c r="H743" s="2" t="s">
        <v>7274</v>
      </c>
      <c r="I743" s="3" t="s">
        <v>29</v>
      </c>
      <c r="J743" s="3" t="s">
        <v>7275</v>
      </c>
      <c r="K743" s="3" t="s">
        <v>47</v>
      </c>
      <c r="L743" s="3" t="s">
        <v>132</v>
      </c>
      <c r="M743" s="3" t="s">
        <v>7276</v>
      </c>
      <c r="N743" s="3" t="s">
        <v>7277</v>
      </c>
      <c r="O743" s="3" t="s">
        <v>7278</v>
      </c>
      <c r="P743" s="3" t="s">
        <v>7279</v>
      </c>
      <c r="Q743" s="3" t="s">
        <v>7280</v>
      </c>
      <c r="R743" s="3" t="s">
        <v>7280</v>
      </c>
      <c r="S743" s="2" t="s">
        <v>38</v>
      </c>
      <c r="T743" s="2" t="s">
        <v>39</v>
      </c>
      <c r="U743" s="2" t="s">
        <v>40</v>
      </c>
      <c r="V743" s="3"/>
    </row>
    <row r="744" spans="1:22">
      <c r="A744" s="2">
        <v>743</v>
      </c>
      <c r="B744" s="3" t="s">
        <v>6863</v>
      </c>
      <c r="C744" s="3" t="s">
        <v>7281</v>
      </c>
      <c r="D744" s="3" t="s">
        <v>7282</v>
      </c>
      <c r="E744" s="2" t="s">
        <v>81</v>
      </c>
      <c r="F744" s="2" t="s">
        <v>43</v>
      </c>
      <c r="G744" s="3" t="s">
        <v>7283</v>
      </c>
      <c r="H744" s="2" t="s">
        <v>7284</v>
      </c>
      <c r="I744" s="3" t="s">
        <v>29</v>
      </c>
      <c r="J744" s="3" t="s">
        <v>7285</v>
      </c>
      <c r="K744" s="3" t="s">
        <v>47</v>
      </c>
      <c r="L744" s="3" t="s">
        <v>132</v>
      </c>
      <c r="M744" s="3" t="s">
        <v>7286</v>
      </c>
      <c r="N744" s="3" t="s">
        <v>7287</v>
      </c>
      <c r="O744" s="3" t="s">
        <v>7288</v>
      </c>
      <c r="P744" s="3" t="s">
        <v>7289</v>
      </c>
      <c r="Q744" s="3" t="s">
        <v>7290</v>
      </c>
      <c r="R744" s="3" t="s">
        <v>7290</v>
      </c>
      <c r="S744" s="2" t="s">
        <v>38</v>
      </c>
      <c r="T744" s="2" t="s">
        <v>39</v>
      </c>
      <c r="U744" s="2" t="s">
        <v>40</v>
      </c>
      <c r="V744" s="3"/>
    </row>
    <row r="745" spans="1:22">
      <c r="A745" s="2">
        <v>744</v>
      </c>
      <c r="B745" s="3" t="s">
        <v>6863</v>
      </c>
      <c r="C745" s="3" t="s">
        <v>7291</v>
      </c>
      <c r="D745" s="3" t="s">
        <v>7292</v>
      </c>
      <c r="E745" s="2" t="s">
        <v>81</v>
      </c>
      <c r="F745" s="2" t="s">
        <v>43</v>
      </c>
      <c r="G745" s="3" t="s">
        <v>7293</v>
      </c>
      <c r="H745" s="2" t="s">
        <v>7294</v>
      </c>
      <c r="I745" s="3" t="s">
        <v>29</v>
      </c>
      <c r="J745" s="3" t="s">
        <v>7295</v>
      </c>
      <c r="K745" s="3" t="s">
        <v>47</v>
      </c>
      <c r="L745" s="3" t="s">
        <v>145</v>
      </c>
      <c r="M745" s="3" t="s">
        <v>7296</v>
      </c>
      <c r="N745" s="3" t="s">
        <v>7297</v>
      </c>
      <c r="O745" s="3" t="s">
        <v>7298</v>
      </c>
      <c r="P745" s="3" t="s">
        <v>7299</v>
      </c>
      <c r="Q745" s="3" t="s">
        <v>7300</v>
      </c>
      <c r="R745" s="3" t="s">
        <v>7300</v>
      </c>
      <c r="S745" s="2" t="s">
        <v>38</v>
      </c>
      <c r="T745" s="2" t="s">
        <v>39</v>
      </c>
      <c r="U745" s="2" t="s">
        <v>40</v>
      </c>
      <c r="V745" s="3"/>
    </row>
    <row r="746" spans="1:22">
      <c r="A746" s="2">
        <v>745</v>
      </c>
      <c r="B746" s="3" t="s">
        <v>6863</v>
      </c>
      <c r="C746" s="3" t="s">
        <v>7301</v>
      </c>
      <c r="D746" s="3" t="s">
        <v>7302</v>
      </c>
      <c r="E746" s="2" t="s">
        <v>69</v>
      </c>
      <c r="F746" s="2" t="s">
        <v>43</v>
      </c>
      <c r="G746" s="3" t="s">
        <v>7303</v>
      </c>
      <c r="H746" s="2" t="s">
        <v>7304</v>
      </c>
      <c r="I746" s="3" t="s">
        <v>29</v>
      </c>
      <c r="J746" s="3" t="s">
        <v>7305</v>
      </c>
      <c r="K746" s="3" t="s">
        <v>365</v>
      </c>
      <c r="L746" s="3" t="s">
        <v>167</v>
      </c>
      <c r="M746" s="3" t="s">
        <v>7306</v>
      </c>
      <c r="N746" s="3" t="s">
        <v>7307</v>
      </c>
      <c r="O746" s="3" t="s">
        <v>7308</v>
      </c>
      <c r="P746" s="3" t="s">
        <v>7309</v>
      </c>
      <c r="Q746" s="3" t="s">
        <v>7310</v>
      </c>
      <c r="R746" s="3" t="s">
        <v>7310</v>
      </c>
      <c r="S746" s="2" t="s">
        <v>38</v>
      </c>
      <c r="T746" s="2" t="s">
        <v>39</v>
      </c>
      <c r="U746" s="2" t="s">
        <v>40</v>
      </c>
      <c r="V746" s="3"/>
    </row>
    <row r="747" spans="1:22">
      <c r="A747" s="2">
        <v>746</v>
      </c>
      <c r="B747" s="3" t="s">
        <v>6863</v>
      </c>
      <c r="C747" s="3" t="s">
        <v>7311</v>
      </c>
      <c r="D747" s="3" t="s">
        <v>7312</v>
      </c>
      <c r="E747" s="2" t="s">
        <v>257</v>
      </c>
      <c r="F747" s="2" t="s">
        <v>43</v>
      </c>
      <c r="G747" s="3" t="s">
        <v>7313</v>
      </c>
      <c r="H747" s="2" t="s">
        <v>7314</v>
      </c>
      <c r="I747" s="3" t="s">
        <v>29</v>
      </c>
      <c r="J747" s="3" t="s">
        <v>7315</v>
      </c>
      <c r="K747" s="3" t="s">
        <v>47</v>
      </c>
      <c r="L747" s="3" t="s">
        <v>48</v>
      </c>
      <c r="M747" s="3" t="s">
        <v>7316</v>
      </c>
      <c r="N747" s="3" t="s">
        <v>7317</v>
      </c>
      <c r="O747" s="3" t="s">
        <v>7318</v>
      </c>
      <c r="P747" s="3" t="s">
        <v>7319</v>
      </c>
      <c r="Q747" s="3" t="s">
        <v>7320</v>
      </c>
      <c r="R747" s="3" t="s">
        <v>7320</v>
      </c>
      <c r="S747" s="2" t="s">
        <v>38</v>
      </c>
      <c r="T747" s="2" t="s">
        <v>39</v>
      </c>
      <c r="U747" s="2" t="s">
        <v>40</v>
      </c>
      <c r="V747" s="3"/>
    </row>
    <row r="748" spans="1:22">
      <c r="A748" s="2">
        <v>747</v>
      </c>
      <c r="B748" s="3" t="s">
        <v>6863</v>
      </c>
      <c r="C748" s="3" t="s">
        <v>7321</v>
      </c>
      <c r="D748" s="3" t="s">
        <v>7322</v>
      </c>
      <c r="E748" s="2" t="s">
        <v>185</v>
      </c>
      <c r="F748" s="2" t="s">
        <v>43</v>
      </c>
      <c r="G748" s="3" t="s">
        <v>7323</v>
      </c>
      <c r="H748" s="2" t="s">
        <v>7324</v>
      </c>
      <c r="I748" s="3" t="s">
        <v>29</v>
      </c>
      <c r="J748" s="3" t="s">
        <v>7325</v>
      </c>
      <c r="K748" s="3" t="s">
        <v>47</v>
      </c>
      <c r="L748" s="3" t="s">
        <v>48</v>
      </c>
      <c r="M748" s="3" t="s">
        <v>7326</v>
      </c>
      <c r="N748" s="3" t="s">
        <v>7327</v>
      </c>
      <c r="O748" s="3" t="s">
        <v>7328</v>
      </c>
      <c r="P748" s="3" t="s">
        <v>7329</v>
      </c>
      <c r="Q748" s="3" t="s">
        <v>7330</v>
      </c>
      <c r="R748" s="3" t="s">
        <v>7330</v>
      </c>
      <c r="S748" s="2" t="s">
        <v>38</v>
      </c>
      <c r="T748" s="2" t="s">
        <v>39</v>
      </c>
      <c r="U748" s="2" t="s">
        <v>40</v>
      </c>
      <c r="V748" s="3"/>
    </row>
    <row r="749" spans="1:22">
      <c r="A749" s="2">
        <v>748</v>
      </c>
      <c r="B749" s="3" t="s">
        <v>6863</v>
      </c>
      <c r="C749" s="3" t="s">
        <v>7331</v>
      </c>
      <c r="D749" s="3" t="s">
        <v>7332</v>
      </c>
      <c r="E749" s="2" t="s">
        <v>25</v>
      </c>
      <c r="F749" s="2" t="s">
        <v>43</v>
      </c>
      <c r="G749" s="3" t="s">
        <v>7333</v>
      </c>
      <c r="H749" s="2" t="s">
        <v>7334</v>
      </c>
      <c r="I749" s="3" t="s">
        <v>29</v>
      </c>
      <c r="J749" s="3" t="s">
        <v>7335</v>
      </c>
      <c r="K749" s="3" t="s">
        <v>47</v>
      </c>
      <c r="L749" s="3" t="s">
        <v>167</v>
      </c>
      <c r="M749" s="3" t="s">
        <v>7336</v>
      </c>
      <c r="N749" s="3" t="s">
        <v>7337</v>
      </c>
      <c r="O749" s="3" t="s">
        <v>7338</v>
      </c>
      <c r="P749" s="3" t="s">
        <v>7339</v>
      </c>
      <c r="Q749" s="3" t="s">
        <v>7340</v>
      </c>
      <c r="R749" s="3" t="s">
        <v>7340</v>
      </c>
      <c r="S749" s="2" t="s">
        <v>38</v>
      </c>
      <c r="T749" s="2" t="s">
        <v>39</v>
      </c>
      <c r="U749" s="2" t="s">
        <v>40</v>
      </c>
      <c r="V749" s="3"/>
    </row>
    <row r="750" spans="1:22">
      <c r="A750" s="2">
        <v>749</v>
      </c>
      <c r="B750" s="3" t="s">
        <v>6863</v>
      </c>
      <c r="C750" s="3" t="s">
        <v>7341</v>
      </c>
      <c r="D750" s="3" t="s">
        <v>7342</v>
      </c>
      <c r="E750" s="2" t="s">
        <v>206</v>
      </c>
      <c r="F750" s="2" t="s">
        <v>43</v>
      </c>
      <c r="G750" s="3" t="s">
        <v>7343</v>
      </c>
      <c r="H750" s="2" t="s">
        <v>7344</v>
      </c>
      <c r="I750" s="3" t="s">
        <v>29</v>
      </c>
      <c r="J750" s="3" t="s">
        <v>7345</v>
      </c>
      <c r="K750" s="3" t="s">
        <v>120</v>
      </c>
      <c r="L750" s="3" t="s">
        <v>48</v>
      </c>
      <c r="M750" s="3" t="s">
        <v>7346</v>
      </c>
      <c r="N750" s="3" t="s">
        <v>7347</v>
      </c>
      <c r="O750" s="3" t="s">
        <v>7348</v>
      </c>
      <c r="P750" s="3" t="s">
        <v>7349</v>
      </c>
      <c r="Q750" s="3" t="s">
        <v>7350</v>
      </c>
      <c r="R750" s="3" t="s">
        <v>7350</v>
      </c>
      <c r="S750" s="2" t="s">
        <v>38</v>
      </c>
      <c r="T750" s="2" t="s">
        <v>39</v>
      </c>
      <c r="U750" s="2" t="s">
        <v>40</v>
      </c>
      <c r="V750" s="3"/>
    </row>
    <row r="751" spans="1:22">
      <c r="A751" s="2">
        <v>750</v>
      </c>
      <c r="B751" s="3" t="s">
        <v>6863</v>
      </c>
      <c r="C751" s="3" t="s">
        <v>7351</v>
      </c>
      <c r="D751" s="3" t="s">
        <v>7352</v>
      </c>
      <c r="E751" s="2" t="s">
        <v>4812</v>
      </c>
      <c r="F751" s="2" t="s">
        <v>43</v>
      </c>
      <c r="G751" s="3" t="s">
        <v>7353</v>
      </c>
      <c r="H751" s="2" t="s">
        <v>7354</v>
      </c>
      <c r="I751" s="3" t="s">
        <v>29</v>
      </c>
      <c r="J751" s="3" t="s">
        <v>7355</v>
      </c>
      <c r="K751" s="3" t="s">
        <v>272</v>
      </c>
      <c r="L751" s="3" t="s">
        <v>167</v>
      </c>
      <c r="M751" s="3" t="s">
        <v>7356</v>
      </c>
      <c r="N751" s="3" t="s">
        <v>7357</v>
      </c>
      <c r="O751" s="3" t="s">
        <v>7358</v>
      </c>
      <c r="P751" s="3" t="s">
        <v>7359</v>
      </c>
      <c r="Q751" s="3" t="s">
        <v>7360</v>
      </c>
      <c r="R751" s="3" t="s">
        <v>7360</v>
      </c>
      <c r="S751" s="2" t="s">
        <v>38</v>
      </c>
      <c r="T751" s="2" t="s">
        <v>39</v>
      </c>
      <c r="U751" s="2" t="s">
        <v>40</v>
      </c>
      <c r="V751" s="3"/>
    </row>
    <row r="752" spans="1:22">
      <c r="A752" s="2">
        <v>751</v>
      </c>
      <c r="B752" s="3" t="s">
        <v>7361</v>
      </c>
      <c r="C752" s="3" t="s">
        <v>7362</v>
      </c>
      <c r="D752" s="3" t="s">
        <v>7363</v>
      </c>
      <c r="E752" s="2" t="s">
        <v>913</v>
      </c>
      <c r="F752" s="2" t="s">
        <v>43</v>
      </c>
      <c r="G752" s="3" t="s">
        <v>7364</v>
      </c>
      <c r="H752" s="2" t="s">
        <v>7365</v>
      </c>
      <c r="I752" s="3" t="s">
        <v>29</v>
      </c>
      <c r="J752" s="3" t="s">
        <v>7366</v>
      </c>
      <c r="K752" s="3" t="s">
        <v>47</v>
      </c>
      <c r="L752" s="3" t="s">
        <v>145</v>
      </c>
      <c r="M752" s="3" t="s">
        <v>7367</v>
      </c>
      <c r="N752" s="3" t="s">
        <v>7368</v>
      </c>
      <c r="O752" s="3" t="s">
        <v>7369</v>
      </c>
      <c r="P752" s="3" t="s">
        <v>7370</v>
      </c>
      <c r="Q752" s="3" t="s">
        <v>7371</v>
      </c>
      <c r="R752" s="3" t="s">
        <v>7371</v>
      </c>
      <c r="S752" s="2" t="s">
        <v>38</v>
      </c>
      <c r="T752" s="2" t="s">
        <v>39</v>
      </c>
      <c r="U752" s="2" t="s">
        <v>40</v>
      </c>
      <c r="V752" s="3"/>
    </row>
    <row r="753" spans="1:22">
      <c r="A753" s="2">
        <v>752</v>
      </c>
      <c r="B753" s="3" t="s">
        <v>7361</v>
      </c>
      <c r="C753" s="3" t="s">
        <v>7372</v>
      </c>
      <c r="D753" s="3" t="s">
        <v>7373</v>
      </c>
      <c r="E753" s="2" t="s">
        <v>116</v>
      </c>
      <c r="F753" s="2" t="s">
        <v>43</v>
      </c>
      <c r="G753" s="3" t="s">
        <v>7374</v>
      </c>
      <c r="H753" s="2" t="s">
        <v>7375</v>
      </c>
      <c r="I753" s="3" t="s">
        <v>29</v>
      </c>
      <c r="J753" s="3" t="s">
        <v>7376</v>
      </c>
      <c r="K753" s="3" t="s">
        <v>541</v>
      </c>
      <c r="L753" s="3" t="s">
        <v>156</v>
      </c>
      <c r="M753" s="3" t="s">
        <v>7377</v>
      </c>
      <c r="N753" s="3" t="s">
        <v>7378</v>
      </c>
      <c r="O753" s="3" t="s">
        <v>7379</v>
      </c>
      <c r="P753" s="3" t="s">
        <v>7380</v>
      </c>
      <c r="Q753" s="3" t="s">
        <v>7381</v>
      </c>
      <c r="R753" s="3" t="s">
        <v>7381</v>
      </c>
      <c r="S753" s="2" t="s">
        <v>38</v>
      </c>
      <c r="T753" s="2" t="s">
        <v>39</v>
      </c>
      <c r="U753" s="2" t="s">
        <v>40</v>
      </c>
      <c r="V753" s="3"/>
    </row>
    <row r="754" spans="1:22">
      <c r="A754" s="2">
        <v>753</v>
      </c>
      <c r="B754" s="3" t="s">
        <v>7361</v>
      </c>
      <c r="C754" s="3" t="s">
        <v>7382</v>
      </c>
      <c r="D754" s="3" t="s">
        <v>7383</v>
      </c>
      <c r="E754" s="2" t="s">
        <v>1017</v>
      </c>
      <c r="F754" s="2" t="s">
        <v>43</v>
      </c>
      <c r="G754" s="3" t="s">
        <v>7384</v>
      </c>
      <c r="H754" s="2" t="s">
        <v>7385</v>
      </c>
      <c r="I754" s="3" t="s">
        <v>29</v>
      </c>
      <c r="J754" s="3" t="s">
        <v>2597</v>
      </c>
      <c r="K754" s="3" t="s">
        <v>47</v>
      </c>
      <c r="L754" s="3" t="s">
        <v>132</v>
      </c>
      <c r="M754" s="3" t="s">
        <v>7386</v>
      </c>
      <c r="N754" s="3" t="s">
        <v>7387</v>
      </c>
      <c r="O754" s="3" t="s">
        <v>7388</v>
      </c>
      <c r="P754" s="3" t="s">
        <v>7389</v>
      </c>
      <c r="Q754" s="3" t="s">
        <v>7390</v>
      </c>
      <c r="R754" s="3" t="s">
        <v>7390</v>
      </c>
      <c r="S754" s="2" t="s">
        <v>38</v>
      </c>
      <c r="T754" s="2" t="s">
        <v>39</v>
      </c>
      <c r="U754" s="2" t="s">
        <v>40</v>
      </c>
      <c r="V754" s="3"/>
    </row>
    <row r="755" spans="1:22">
      <c r="A755" s="2">
        <v>754</v>
      </c>
      <c r="B755" s="3" t="s">
        <v>7361</v>
      </c>
      <c r="C755" s="3" t="s">
        <v>7391</v>
      </c>
      <c r="D755" s="3" t="s">
        <v>7392</v>
      </c>
      <c r="E755" s="2" t="s">
        <v>257</v>
      </c>
      <c r="F755" s="2" t="s">
        <v>43</v>
      </c>
      <c r="G755" s="3" t="s">
        <v>7393</v>
      </c>
      <c r="H755" s="2" t="s">
        <v>7394</v>
      </c>
      <c r="I755" s="3" t="s">
        <v>29</v>
      </c>
      <c r="J755" s="3" t="s">
        <v>7395</v>
      </c>
      <c r="K755" s="3" t="s">
        <v>47</v>
      </c>
      <c r="L755" s="3" t="s">
        <v>603</v>
      </c>
      <c r="M755" s="3" t="s">
        <v>7396</v>
      </c>
      <c r="N755" s="3" t="s">
        <v>7397</v>
      </c>
      <c r="O755" s="3" t="s">
        <v>7398</v>
      </c>
      <c r="P755" s="3" t="s">
        <v>7399</v>
      </c>
      <c r="Q755" s="3" t="s">
        <v>7400</v>
      </c>
      <c r="R755" s="3" t="s">
        <v>7400</v>
      </c>
      <c r="S755" s="2" t="s">
        <v>3054</v>
      </c>
      <c r="T755" s="2" t="s">
        <v>39</v>
      </c>
      <c r="U755" s="2" t="s">
        <v>40</v>
      </c>
      <c r="V755" s="3"/>
    </row>
    <row r="756" spans="1:22">
      <c r="A756" s="2">
        <v>755</v>
      </c>
      <c r="B756" s="3" t="s">
        <v>7361</v>
      </c>
      <c r="C756" s="3" t="s">
        <v>7401</v>
      </c>
      <c r="D756" s="3" t="s">
        <v>5272</v>
      </c>
      <c r="E756" s="2" t="s">
        <v>351</v>
      </c>
      <c r="F756" s="2" t="s">
        <v>43</v>
      </c>
      <c r="G756" s="3" t="s">
        <v>7402</v>
      </c>
      <c r="H756" s="2" t="s">
        <v>7403</v>
      </c>
      <c r="I756" s="3" t="s">
        <v>29</v>
      </c>
      <c r="J756" s="3" t="s">
        <v>7404</v>
      </c>
      <c r="K756" s="3" t="s">
        <v>47</v>
      </c>
      <c r="L756" s="3" t="s">
        <v>989</v>
      </c>
      <c r="M756" s="3" t="s">
        <v>7405</v>
      </c>
      <c r="N756" s="3" t="s">
        <v>6017</v>
      </c>
      <c r="O756" s="3" t="s">
        <v>7406</v>
      </c>
      <c r="P756" s="3" t="s">
        <v>7407</v>
      </c>
      <c r="Q756" s="3" t="s">
        <v>7408</v>
      </c>
      <c r="R756" s="3" t="s">
        <v>7408</v>
      </c>
      <c r="S756" s="2" t="s">
        <v>38</v>
      </c>
      <c r="T756" s="2" t="s">
        <v>39</v>
      </c>
      <c r="U756" s="2" t="s">
        <v>40</v>
      </c>
      <c r="V756" s="3"/>
    </row>
    <row r="757" spans="1:22">
      <c r="A757" s="2">
        <v>756</v>
      </c>
      <c r="B757" s="3" t="s">
        <v>7361</v>
      </c>
      <c r="C757" s="3" t="s">
        <v>7409</v>
      </c>
      <c r="D757" s="3" t="s">
        <v>7410</v>
      </c>
      <c r="E757" s="2"/>
      <c r="F757" s="2" t="s">
        <v>43</v>
      </c>
      <c r="G757" s="3" t="s">
        <v>7411</v>
      </c>
      <c r="H757" s="2" t="s">
        <v>7412</v>
      </c>
      <c r="I757" s="3" t="s">
        <v>29</v>
      </c>
      <c r="J757" s="3" t="s">
        <v>7413</v>
      </c>
      <c r="K757" s="3" t="s">
        <v>47</v>
      </c>
      <c r="L757" s="3" t="s">
        <v>145</v>
      </c>
      <c r="M757" s="3" t="s">
        <v>7414</v>
      </c>
      <c r="N757" s="3" t="s">
        <v>7415</v>
      </c>
      <c r="O757" s="3" t="s">
        <v>7416</v>
      </c>
      <c r="P757" s="3" t="s">
        <v>7417</v>
      </c>
      <c r="Q757" s="3" t="s">
        <v>7418</v>
      </c>
      <c r="R757" s="3" t="s">
        <v>7418</v>
      </c>
      <c r="S757" s="2" t="s">
        <v>38</v>
      </c>
      <c r="T757" s="2" t="s">
        <v>39</v>
      </c>
      <c r="U757" s="2" t="s">
        <v>40</v>
      </c>
      <c r="V757" s="3"/>
    </row>
    <row r="758" spans="1:22">
      <c r="A758" s="2">
        <v>757</v>
      </c>
      <c r="B758" s="3" t="s">
        <v>7361</v>
      </c>
      <c r="C758" s="3" t="s">
        <v>7419</v>
      </c>
      <c r="D758" s="3" t="s">
        <v>7420</v>
      </c>
      <c r="E758" s="2" t="s">
        <v>140</v>
      </c>
      <c r="F758" s="2" t="s">
        <v>43</v>
      </c>
      <c r="G758" s="3" t="s">
        <v>7421</v>
      </c>
      <c r="H758" s="2" t="s">
        <v>7422</v>
      </c>
      <c r="I758" s="3" t="s">
        <v>29</v>
      </c>
      <c r="J758" s="3" t="s">
        <v>7423</v>
      </c>
      <c r="K758" s="3" t="s">
        <v>47</v>
      </c>
      <c r="L758" s="3" t="s">
        <v>167</v>
      </c>
      <c r="M758" s="3" t="s">
        <v>7424</v>
      </c>
      <c r="N758" s="3" t="s">
        <v>7425</v>
      </c>
      <c r="O758" s="3" t="s">
        <v>7426</v>
      </c>
      <c r="P758" s="3" t="s">
        <v>7427</v>
      </c>
      <c r="Q758" s="3" t="s">
        <v>7428</v>
      </c>
      <c r="R758" s="3" t="s">
        <v>7428</v>
      </c>
      <c r="S758" s="2" t="s">
        <v>38</v>
      </c>
      <c r="T758" s="2" t="s">
        <v>39</v>
      </c>
      <c r="U758" s="2" t="s">
        <v>40</v>
      </c>
      <c r="V758" s="3"/>
    </row>
    <row r="759" spans="1:22">
      <c r="A759" s="2">
        <v>758</v>
      </c>
      <c r="B759" s="3" t="s">
        <v>7361</v>
      </c>
      <c r="C759" s="3" t="s">
        <v>7429</v>
      </c>
      <c r="D759" s="3" t="s">
        <v>7430</v>
      </c>
      <c r="E759" s="2" t="s">
        <v>351</v>
      </c>
      <c r="F759" s="2" t="s">
        <v>43</v>
      </c>
      <c r="G759" s="3" t="s">
        <v>7431</v>
      </c>
      <c r="H759" s="2" t="s">
        <v>7432</v>
      </c>
      <c r="I759" s="3" t="s">
        <v>29</v>
      </c>
      <c r="J759" s="3" t="s">
        <v>7433</v>
      </c>
      <c r="K759" s="3" t="s">
        <v>107</v>
      </c>
      <c r="L759" s="3" t="s">
        <v>32</v>
      </c>
      <c r="M759" s="3" t="s">
        <v>7434</v>
      </c>
      <c r="N759" s="3" t="s">
        <v>7435</v>
      </c>
      <c r="O759" s="3" t="s">
        <v>7436</v>
      </c>
      <c r="P759" s="3" t="s">
        <v>7437</v>
      </c>
      <c r="Q759" s="3" t="s">
        <v>7438</v>
      </c>
      <c r="R759" s="3" t="s">
        <v>7438</v>
      </c>
      <c r="S759" s="2" t="s">
        <v>38</v>
      </c>
      <c r="T759" s="2" t="s">
        <v>39</v>
      </c>
      <c r="U759" s="2" t="s">
        <v>40</v>
      </c>
      <c r="V759" s="3"/>
    </row>
    <row r="760" spans="1:22">
      <c r="A760" s="2">
        <v>759</v>
      </c>
      <c r="B760" s="3" t="s">
        <v>7361</v>
      </c>
      <c r="C760" s="3" t="s">
        <v>7439</v>
      </c>
      <c r="D760" s="3" t="s">
        <v>7440</v>
      </c>
      <c r="E760" s="2" t="s">
        <v>128</v>
      </c>
      <c r="F760" s="2" t="s">
        <v>43</v>
      </c>
      <c r="G760" s="3" t="s">
        <v>7441</v>
      </c>
      <c r="H760" s="2" t="s">
        <v>7442</v>
      </c>
      <c r="I760" s="3" t="s">
        <v>29</v>
      </c>
      <c r="J760" s="3" t="s">
        <v>7443</v>
      </c>
      <c r="K760" s="3" t="s">
        <v>47</v>
      </c>
      <c r="L760" s="3" t="s">
        <v>989</v>
      </c>
      <c r="M760" s="3" t="s">
        <v>1071</v>
      </c>
      <c r="N760" s="3" t="s">
        <v>7444</v>
      </c>
      <c r="O760" s="3" t="s">
        <v>7445</v>
      </c>
      <c r="P760" s="3" t="s">
        <v>7446</v>
      </c>
      <c r="Q760" s="3" t="s">
        <v>7447</v>
      </c>
      <c r="R760" s="3" t="s">
        <v>7447</v>
      </c>
      <c r="S760" s="2" t="s">
        <v>38</v>
      </c>
      <c r="T760" s="2" t="s">
        <v>39</v>
      </c>
      <c r="U760" s="2" t="s">
        <v>40</v>
      </c>
      <c r="V760" s="3"/>
    </row>
    <row r="761" spans="1:22">
      <c r="A761" s="2">
        <v>760</v>
      </c>
      <c r="B761" s="3" t="s">
        <v>7361</v>
      </c>
      <c r="C761" s="3" t="s">
        <v>7448</v>
      </c>
      <c r="D761" s="3" t="s">
        <v>7449</v>
      </c>
      <c r="E761" s="2" t="s">
        <v>185</v>
      </c>
      <c r="F761" s="2" t="s">
        <v>43</v>
      </c>
      <c r="G761" s="3" t="s">
        <v>7450</v>
      </c>
      <c r="H761" s="2" t="s">
        <v>7451</v>
      </c>
      <c r="I761" s="3" t="s">
        <v>29</v>
      </c>
      <c r="J761" s="3" t="s">
        <v>7452</v>
      </c>
      <c r="K761" s="3" t="s">
        <v>31</v>
      </c>
      <c r="L761" s="3" t="s">
        <v>156</v>
      </c>
      <c r="M761" s="3" t="s">
        <v>7453</v>
      </c>
      <c r="N761" s="3" t="s">
        <v>7454</v>
      </c>
      <c r="O761" s="3" t="s">
        <v>7455</v>
      </c>
      <c r="P761" s="3" t="s">
        <v>7456</v>
      </c>
      <c r="Q761" s="3" t="s">
        <v>7457</v>
      </c>
      <c r="R761" s="3" t="s">
        <v>7457</v>
      </c>
      <c r="S761" s="2" t="s">
        <v>38</v>
      </c>
      <c r="T761" s="2" t="s">
        <v>39</v>
      </c>
      <c r="U761" s="2" t="s">
        <v>40</v>
      </c>
      <c r="V761" s="3"/>
    </row>
    <row r="762" spans="1:22">
      <c r="A762" s="2">
        <v>761</v>
      </c>
      <c r="B762" s="3" t="s">
        <v>7361</v>
      </c>
      <c r="C762" s="3" t="s">
        <v>7458</v>
      </c>
      <c r="D762" s="3" t="s">
        <v>7459</v>
      </c>
      <c r="E762" s="2" t="s">
        <v>103</v>
      </c>
      <c r="F762" s="2" t="s">
        <v>43</v>
      </c>
      <c r="G762" s="3" t="s">
        <v>7460</v>
      </c>
      <c r="H762" s="2" t="s">
        <v>7461</v>
      </c>
      <c r="I762" s="3" t="s">
        <v>29</v>
      </c>
      <c r="J762" s="3" t="s">
        <v>7462</v>
      </c>
      <c r="K762" s="3" t="s">
        <v>47</v>
      </c>
      <c r="L762" s="3" t="s">
        <v>989</v>
      </c>
      <c r="M762" s="3" t="s">
        <v>7463</v>
      </c>
      <c r="N762" s="3" t="s">
        <v>7464</v>
      </c>
      <c r="O762" s="3" t="s">
        <v>7465</v>
      </c>
      <c r="P762" s="3" t="s">
        <v>7466</v>
      </c>
      <c r="Q762" s="3" t="s">
        <v>7467</v>
      </c>
      <c r="R762" s="3" t="s">
        <v>7467</v>
      </c>
      <c r="S762" s="2" t="s">
        <v>38</v>
      </c>
      <c r="T762" s="2" t="s">
        <v>39</v>
      </c>
      <c r="U762" s="2" t="s">
        <v>40</v>
      </c>
      <c r="V762" s="3"/>
    </row>
    <row r="763" spans="1:22">
      <c r="A763" s="2">
        <v>762</v>
      </c>
      <c r="B763" s="3" t="s">
        <v>7361</v>
      </c>
      <c r="C763" s="3" t="s">
        <v>7468</v>
      </c>
      <c r="D763" s="3" t="s">
        <v>7469</v>
      </c>
      <c r="E763" s="2" t="s">
        <v>7470</v>
      </c>
      <c r="F763" s="2" t="s">
        <v>26</v>
      </c>
      <c r="G763" s="3" t="s">
        <v>7471</v>
      </c>
      <c r="H763" s="2" t="s">
        <v>7472</v>
      </c>
      <c r="I763" s="3" t="s">
        <v>29</v>
      </c>
      <c r="J763" s="3" t="s">
        <v>7473</v>
      </c>
      <c r="K763" s="3" t="s">
        <v>47</v>
      </c>
      <c r="L763" s="3" t="s">
        <v>167</v>
      </c>
      <c r="M763" s="3" t="s">
        <v>7474</v>
      </c>
      <c r="N763" s="3" t="s">
        <v>7475</v>
      </c>
      <c r="O763" s="3" t="s">
        <v>7476</v>
      </c>
      <c r="P763" s="3" t="s">
        <v>7477</v>
      </c>
      <c r="Q763" s="3" t="s">
        <v>7478</v>
      </c>
      <c r="R763" s="3" t="s">
        <v>7478</v>
      </c>
      <c r="S763" s="2" t="s">
        <v>38</v>
      </c>
      <c r="T763" s="2" t="s">
        <v>39</v>
      </c>
      <c r="U763" s="2" t="s">
        <v>40</v>
      </c>
      <c r="V763" s="3"/>
    </row>
    <row r="764" spans="1:22">
      <c r="A764" s="2">
        <v>763</v>
      </c>
      <c r="B764" s="3" t="s">
        <v>7361</v>
      </c>
      <c r="C764" s="3" t="s">
        <v>7479</v>
      </c>
      <c r="D764" s="3" t="s">
        <v>7480</v>
      </c>
      <c r="E764" s="2" t="s">
        <v>7481</v>
      </c>
      <c r="F764" s="2" t="s">
        <v>26</v>
      </c>
      <c r="G764" s="3" t="s">
        <v>7482</v>
      </c>
      <c r="H764" s="2" t="s">
        <v>7483</v>
      </c>
      <c r="I764" s="3" t="s">
        <v>29</v>
      </c>
      <c r="J764" s="3" t="s">
        <v>7484</v>
      </c>
      <c r="K764" s="3" t="s">
        <v>261</v>
      </c>
      <c r="L764" s="3" t="s">
        <v>32</v>
      </c>
      <c r="M764" s="3" t="s">
        <v>7485</v>
      </c>
      <c r="N764" s="3" t="s">
        <v>7486</v>
      </c>
      <c r="O764" s="3" t="s">
        <v>7487</v>
      </c>
      <c r="P764" s="3" t="s">
        <v>7488</v>
      </c>
      <c r="Q764" s="3" t="s">
        <v>7489</v>
      </c>
      <c r="R764" s="3" t="s">
        <v>7489</v>
      </c>
      <c r="S764" s="2" t="s">
        <v>38</v>
      </c>
      <c r="T764" s="2" t="s">
        <v>39</v>
      </c>
      <c r="U764" s="2" t="s">
        <v>40</v>
      </c>
      <c r="V764" s="3"/>
    </row>
    <row r="765" spans="1:22">
      <c r="A765" s="2">
        <v>764</v>
      </c>
      <c r="B765" s="3" t="s">
        <v>7361</v>
      </c>
      <c r="C765" s="3" t="s">
        <v>7490</v>
      </c>
      <c r="D765" s="3" t="s">
        <v>7491</v>
      </c>
      <c r="E765" s="2" t="s">
        <v>257</v>
      </c>
      <c r="F765" s="2" t="s">
        <v>26</v>
      </c>
      <c r="G765" s="3" t="s">
        <v>7492</v>
      </c>
      <c r="H765" s="2" t="s">
        <v>7493</v>
      </c>
      <c r="I765" s="3" t="s">
        <v>29</v>
      </c>
      <c r="J765" s="3" t="s">
        <v>7494</v>
      </c>
      <c r="K765" s="3" t="s">
        <v>47</v>
      </c>
      <c r="L765" s="3" t="s">
        <v>73</v>
      </c>
      <c r="M765" s="3" t="s">
        <v>7495</v>
      </c>
      <c r="N765" s="3" t="s">
        <v>7496</v>
      </c>
      <c r="O765" s="3" t="s">
        <v>7497</v>
      </c>
      <c r="P765" s="3" t="s">
        <v>7498</v>
      </c>
      <c r="Q765" s="3" t="s">
        <v>7499</v>
      </c>
      <c r="R765" s="3" t="s">
        <v>7499</v>
      </c>
      <c r="S765" s="2" t="s">
        <v>38</v>
      </c>
      <c r="T765" s="2" t="s">
        <v>39</v>
      </c>
      <c r="U765" s="2" t="s">
        <v>40</v>
      </c>
      <c r="V765" s="3"/>
    </row>
    <row r="766" spans="1:22">
      <c r="A766" s="2">
        <v>765</v>
      </c>
      <c r="B766" s="3" t="s">
        <v>7361</v>
      </c>
      <c r="C766" s="3" t="s">
        <v>7500</v>
      </c>
      <c r="D766" s="3" t="s">
        <v>7501</v>
      </c>
      <c r="E766" s="2" t="s">
        <v>537</v>
      </c>
      <c r="F766" s="2" t="s">
        <v>26</v>
      </c>
      <c r="G766" s="3" t="s">
        <v>7502</v>
      </c>
      <c r="H766" s="2" t="s">
        <v>7503</v>
      </c>
      <c r="I766" s="3" t="s">
        <v>29</v>
      </c>
      <c r="J766" s="3" t="s">
        <v>7504</v>
      </c>
      <c r="K766" s="3" t="s">
        <v>47</v>
      </c>
      <c r="L766" s="3" t="s">
        <v>132</v>
      </c>
      <c r="M766" s="3" t="s">
        <v>7505</v>
      </c>
      <c r="N766" s="3" t="s">
        <v>7506</v>
      </c>
      <c r="O766" s="3" t="s">
        <v>7507</v>
      </c>
      <c r="P766" s="3" t="s">
        <v>7508</v>
      </c>
      <c r="Q766" s="3" t="s">
        <v>7509</v>
      </c>
      <c r="R766" s="3" t="s">
        <v>7509</v>
      </c>
      <c r="S766" s="2" t="s">
        <v>38</v>
      </c>
      <c r="T766" s="2" t="s">
        <v>39</v>
      </c>
      <c r="U766" s="2" t="s">
        <v>40</v>
      </c>
      <c r="V766" s="3"/>
    </row>
    <row r="767" spans="1:22">
      <c r="A767" s="2">
        <v>766</v>
      </c>
      <c r="B767" s="3" t="s">
        <v>7361</v>
      </c>
      <c r="C767" s="3" t="s">
        <v>7510</v>
      </c>
      <c r="D767" s="3" t="s">
        <v>7511</v>
      </c>
      <c r="E767" s="2" t="s">
        <v>506</v>
      </c>
      <c r="F767" s="2" t="s">
        <v>26</v>
      </c>
      <c r="G767" s="3" t="s">
        <v>7512</v>
      </c>
      <c r="H767" s="2" t="s">
        <v>7513</v>
      </c>
      <c r="I767" s="3" t="s">
        <v>29</v>
      </c>
      <c r="J767" s="3" t="s">
        <v>7514</v>
      </c>
      <c r="K767" s="3" t="s">
        <v>47</v>
      </c>
      <c r="L767" s="3" t="s">
        <v>323</v>
      </c>
      <c r="M767" s="3" t="s">
        <v>7515</v>
      </c>
      <c r="N767" s="3" t="s">
        <v>7516</v>
      </c>
      <c r="O767" s="3" t="s">
        <v>7517</v>
      </c>
      <c r="P767" s="3" t="s">
        <v>7518</v>
      </c>
      <c r="Q767" s="3" t="s">
        <v>7519</v>
      </c>
      <c r="R767" s="3" t="s">
        <v>7519</v>
      </c>
      <c r="S767" s="2" t="s">
        <v>38</v>
      </c>
      <c r="T767" s="2" t="s">
        <v>39</v>
      </c>
      <c r="U767" s="2" t="s">
        <v>40</v>
      </c>
      <c r="V767" s="3"/>
    </row>
    <row r="768" spans="1:22">
      <c r="A768" s="2">
        <v>767</v>
      </c>
      <c r="B768" s="3" t="s">
        <v>7361</v>
      </c>
      <c r="C768" s="3" t="s">
        <v>7520</v>
      </c>
      <c r="D768" s="3" t="s">
        <v>7521</v>
      </c>
      <c r="E768" s="2" t="s">
        <v>621</v>
      </c>
      <c r="F768" s="2" t="s">
        <v>26</v>
      </c>
      <c r="G768" s="3" t="s">
        <v>7522</v>
      </c>
      <c r="H768" s="2" t="s">
        <v>7523</v>
      </c>
      <c r="I768" s="3" t="s">
        <v>29</v>
      </c>
      <c r="J768" s="3" t="s">
        <v>7524</v>
      </c>
      <c r="K768" s="3" t="s">
        <v>47</v>
      </c>
      <c r="L768" s="3" t="s">
        <v>323</v>
      </c>
      <c r="M768" s="3" t="s">
        <v>7525</v>
      </c>
      <c r="N768" s="3" t="s">
        <v>7526</v>
      </c>
      <c r="O768" s="3" t="s">
        <v>7527</v>
      </c>
      <c r="P768" s="3" t="s">
        <v>7528</v>
      </c>
      <c r="Q768" s="3" t="s">
        <v>7529</v>
      </c>
      <c r="R768" s="3" t="s">
        <v>7529</v>
      </c>
      <c r="S768" s="2" t="s">
        <v>38</v>
      </c>
      <c r="T768" s="2" t="s">
        <v>39</v>
      </c>
      <c r="U768" s="2" t="s">
        <v>40</v>
      </c>
      <c r="V768" s="3"/>
    </row>
    <row r="769" spans="1:22">
      <c r="A769" s="2">
        <v>768</v>
      </c>
      <c r="B769" s="3" t="s">
        <v>7361</v>
      </c>
      <c r="C769" s="3" t="s">
        <v>7530</v>
      </c>
      <c r="D769" s="3" t="s">
        <v>7531</v>
      </c>
      <c r="E769" s="2" t="s">
        <v>185</v>
      </c>
      <c r="F769" s="2" t="s">
        <v>43</v>
      </c>
      <c r="G769" s="3" t="s">
        <v>7532</v>
      </c>
      <c r="H769" s="2" t="s">
        <v>7533</v>
      </c>
      <c r="I769" s="3" t="s">
        <v>29</v>
      </c>
      <c r="J769" s="3" t="s">
        <v>7534</v>
      </c>
      <c r="K769" s="3" t="s">
        <v>107</v>
      </c>
      <c r="L769" s="3" t="s">
        <v>108</v>
      </c>
      <c r="M769" s="3" t="s">
        <v>7535</v>
      </c>
      <c r="N769" s="3" t="s">
        <v>7536</v>
      </c>
      <c r="O769" s="3" t="s">
        <v>7537</v>
      </c>
      <c r="P769" s="3" t="s">
        <v>7538</v>
      </c>
      <c r="Q769" s="3" t="s">
        <v>7539</v>
      </c>
      <c r="R769" s="3" t="s">
        <v>7539</v>
      </c>
      <c r="S769" s="2" t="s">
        <v>38</v>
      </c>
      <c r="T769" s="2" t="s">
        <v>39</v>
      </c>
      <c r="U769" s="2" t="s">
        <v>40</v>
      </c>
      <c r="V769" s="3"/>
    </row>
    <row r="770" spans="1:22">
      <c r="A770" s="2">
        <v>769</v>
      </c>
      <c r="B770" s="3" t="s">
        <v>7361</v>
      </c>
      <c r="C770" s="3" t="s">
        <v>7540</v>
      </c>
      <c r="D770" s="3" t="s">
        <v>7541</v>
      </c>
      <c r="E770" s="2" t="s">
        <v>1109</v>
      </c>
      <c r="F770" s="2" t="s">
        <v>43</v>
      </c>
      <c r="G770" s="3" t="s">
        <v>7542</v>
      </c>
      <c r="H770" s="2" t="s">
        <v>7543</v>
      </c>
      <c r="I770" s="3" t="s">
        <v>29</v>
      </c>
      <c r="J770" s="3" t="s">
        <v>7544</v>
      </c>
      <c r="K770" s="3" t="s">
        <v>144</v>
      </c>
      <c r="L770" s="3" t="s">
        <v>145</v>
      </c>
      <c r="M770" s="3" t="s">
        <v>7545</v>
      </c>
      <c r="N770" s="3" t="s">
        <v>7546</v>
      </c>
      <c r="O770" s="3" t="s">
        <v>7547</v>
      </c>
      <c r="P770" s="3" t="s">
        <v>7548</v>
      </c>
      <c r="Q770" s="3" t="s">
        <v>7549</v>
      </c>
      <c r="R770" s="3" t="s">
        <v>7549</v>
      </c>
      <c r="S770" s="2" t="s">
        <v>38</v>
      </c>
      <c r="T770" s="2" t="s">
        <v>39</v>
      </c>
      <c r="U770" s="2" t="s">
        <v>40</v>
      </c>
      <c r="V770" s="3"/>
    </row>
    <row r="771" spans="1:22">
      <c r="A771" s="2">
        <v>770</v>
      </c>
      <c r="B771" s="3" t="s">
        <v>7361</v>
      </c>
      <c r="C771" s="3" t="s">
        <v>7550</v>
      </c>
      <c r="D771" s="3" t="s">
        <v>7551</v>
      </c>
      <c r="E771" s="2" t="s">
        <v>506</v>
      </c>
      <c r="F771" s="2" t="s">
        <v>26</v>
      </c>
      <c r="G771" s="3" t="s">
        <v>7552</v>
      </c>
      <c r="H771" s="2" t="s">
        <v>7553</v>
      </c>
      <c r="I771" s="3" t="s">
        <v>29</v>
      </c>
      <c r="J771" s="3" t="s">
        <v>7554</v>
      </c>
      <c r="K771" s="3" t="s">
        <v>272</v>
      </c>
      <c r="L771" s="3" t="s">
        <v>323</v>
      </c>
      <c r="M771" s="3" t="s">
        <v>7555</v>
      </c>
      <c r="N771" s="3" t="s">
        <v>7556</v>
      </c>
      <c r="O771" s="3" t="s">
        <v>7557</v>
      </c>
      <c r="P771" s="3" t="s">
        <v>7558</v>
      </c>
      <c r="Q771" s="3" t="s">
        <v>7559</v>
      </c>
      <c r="R771" s="3" t="s">
        <v>7559</v>
      </c>
      <c r="S771" s="2" t="s">
        <v>38</v>
      </c>
      <c r="T771" s="2" t="s">
        <v>39</v>
      </c>
      <c r="U771" s="2" t="s">
        <v>40</v>
      </c>
      <c r="V771" s="3"/>
    </row>
    <row r="772" spans="1:22">
      <c r="A772" s="2">
        <v>771</v>
      </c>
      <c r="B772" s="3" t="s">
        <v>7361</v>
      </c>
      <c r="C772" s="3" t="s">
        <v>7560</v>
      </c>
      <c r="D772" s="3" t="s">
        <v>7561</v>
      </c>
      <c r="E772" s="2" t="s">
        <v>185</v>
      </c>
      <c r="F772" s="2" t="s">
        <v>26</v>
      </c>
      <c r="G772" s="3" t="s">
        <v>7562</v>
      </c>
      <c r="H772" s="2" t="s">
        <v>7563</v>
      </c>
      <c r="I772" s="3" t="s">
        <v>29</v>
      </c>
      <c r="J772" s="3" t="s">
        <v>7564</v>
      </c>
      <c r="K772" s="3" t="s">
        <v>47</v>
      </c>
      <c r="L772" s="3" t="s">
        <v>323</v>
      </c>
      <c r="M772" s="3" t="s">
        <v>7565</v>
      </c>
      <c r="N772" s="3" t="s">
        <v>7566</v>
      </c>
      <c r="O772" s="3" t="s">
        <v>7567</v>
      </c>
      <c r="P772" s="3" t="s">
        <v>7568</v>
      </c>
      <c r="Q772" s="3" t="s">
        <v>7569</v>
      </c>
      <c r="R772" s="3" t="s">
        <v>7569</v>
      </c>
      <c r="S772" s="2" t="s">
        <v>38</v>
      </c>
      <c r="T772" s="2" t="s">
        <v>39</v>
      </c>
      <c r="U772" s="2" t="s">
        <v>40</v>
      </c>
      <c r="V772" s="3"/>
    </row>
    <row r="773" spans="1:22">
      <c r="A773" s="2">
        <v>772</v>
      </c>
      <c r="B773" s="3" t="s">
        <v>7361</v>
      </c>
      <c r="C773" s="3" t="s">
        <v>7570</v>
      </c>
      <c r="D773" s="3" t="s">
        <v>7571</v>
      </c>
      <c r="E773" s="2" t="s">
        <v>206</v>
      </c>
      <c r="F773" s="2" t="s">
        <v>26</v>
      </c>
      <c r="G773" s="3" t="s">
        <v>7572</v>
      </c>
      <c r="H773" s="2" t="s">
        <v>7573</v>
      </c>
      <c r="I773" s="3" t="s">
        <v>29</v>
      </c>
      <c r="J773" s="3" t="s">
        <v>7574</v>
      </c>
      <c r="K773" s="3" t="s">
        <v>47</v>
      </c>
      <c r="L773" s="3" t="s">
        <v>323</v>
      </c>
      <c r="M773" s="3" t="s">
        <v>7575</v>
      </c>
      <c r="N773" s="3" t="s">
        <v>7576</v>
      </c>
      <c r="O773" s="3" t="s">
        <v>7577</v>
      </c>
      <c r="P773" s="3" t="s">
        <v>7578</v>
      </c>
      <c r="Q773" s="3" t="s">
        <v>7579</v>
      </c>
      <c r="R773" s="3" t="s">
        <v>7579</v>
      </c>
      <c r="S773" s="2" t="s">
        <v>38</v>
      </c>
      <c r="T773" s="2" t="s">
        <v>39</v>
      </c>
      <c r="U773" s="2" t="s">
        <v>40</v>
      </c>
      <c r="V773" s="3"/>
    </row>
    <row r="774" spans="1:22">
      <c r="A774" s="2">
        <v>773</v>
      </c>
      <c r="B774" s="3" t="s">
        <v>7361</v>
      </c>
      <c r="C774" s="3" t="s">
        <v>7580</v>
      </c>
      <c r="D774" s="3" t="s">
        <v>7581</v>
      </c>
      <c r="E774" s="2" t="s">
        <v>984</v>
      </c>
      <c r="F774" s="2" t="s">
        <v>26</v>
      </c>
      <c r="G774" s="3" t="s">
        <v>7582</v>
      </c>
      <c r="H774" s="2" t="s">
        <v>7583</v>
      </c>
      <c r="I774" s="3" t="s">
        <v>29</v>
      </c>
      <c r="J774" s="3" t="s">
        <v>7584</v>
      </c>
      <c r="K774" s="3" t="s">
        <v>47</v>
      </c>
      <c r="L774" s="3" t="s">
        <v>293</v>
      </c>
      <c r="M774" s="3" t="s">
        <v>7585</v>
      </c>
      <c r="N774" s="3" t="s">
        <v>7586</v>
      </c>
      <c r="O774" s="3" t="s">
        <v>7587</v>
      </c>
      <c r="P774" s="3" t="s">
        <v>7588</v>
      </c>
      <c r="Q774" s="3" t="s">
        <v>7589</v>
      </c>
      <c r="R774" s="3" t="s">
        <v>7589</v>
      </c>
      <c r="S774" s="2" t="s">
        <v>38</v>
      </c>
      <c r="T774" s="2" t="s">
        <v>39</v>
      </c>
      <c r="U774" s="2" t="s">
        <v>40</v>
      </c>
      <c r="V774" s="3"/>
    </row>
    <row r="775" spans="1:22">
      <c r="A775" s="2">
        <v>774</v>
      </c>
      <c r="B775" s="3" t="s">
        <v>7361</v>
      </c>
      <c r="C775" s="3" t="s">
        <v>7590</v>
      </c>
      <c r="D775" s="3" t="s">
        <v>3474</v>
      </c>
      <c r="E775" s="2" t="s">
        <v>415</v>
      </c>
      <c r="F775" s="2" t="s">
        <v>26</v>
      </c>
      <c r="G775" s="3" t="s">
        <v>7591</v>
      </c>
      <c r="H775" s="2" t="s">
        <v>7592</v>
      </c>
      <c r="I775" s="3" t="s">
        <v>29</v>
      </c>
      <c r="J775" s="3" t="s">
        <v>7593</v>
      </c>
      <c r="K775" s="3" t="s">
        <v>47</v>
      </c>
      <c r="L775" s="3" t="s">
        <v>132</v>
      </c>
      <c r="M775" s="3" t="s">
        <v>7594</v>
      </c>
      <c r="N775" s="3" t="s">
        <v>7595</v>
      </c>
      <c r="O775" s="3" t="s">
        <v>7596</v>
      </c>
      <c r="P775" s="3" t="s">
        <v>7597</v>
      </c>
      <c r="Q775" s="3" t="s">
        <v>7598</v>
      </c>
      <c r="R775" s="3" t="s">
        <v>7598</v>
      </c>
      <c r="S775" s="2" t="s">
        <v>38</v>
      </c>
      <c r="T775" s="2" t="s">
        <v>39</v>
      </c>
      <c r="U775" s="2" t="s">
        <v>40</v>
      </c>
      <c r="V775" s="3"/>
    </row>
    <row r="776" spans="1:22">
      <c r="A776" s="2">
        <v>775</v>
      </c>
      <c r="B776" s="3" t="s">
        <v>7361</v>
      </c>
      <c r="C776" s="3" t="s">
        <v>7599</v>
      </c>
      <c r="D776" s="3" t="s">
        <v>7600</v>
      </c>
      <c r="E776" s="2" t="s">
        <v>56</v>
      </c>
      <c r="F776" s="2" t="s">
        <v>26</v>
      </c>
      <c r="G776" s="3" t="s">
        <v>7601</v>
      </c>
      <c r="H776" s="2" t="s">
        <v>7602</v>
      </c>
      <c r="I776" s="3" t="s">
        <v>29</v>
      </c>
      <c r="J776" s="3" t="s">
        <v>7603</v>
      </c>
      <c r="K776" s="3" t="s">
        <v>272</v>
      </c>
      <c r="L776" s="3" t="s">
        <v>323</v>
      </c>
      <c r="M776" s="3" t="s">
        <v>7604</v>
      </c>
      <c r="N776" s="3" t="s">
        <v>7605</v>
      </c>
      <c r="O776" s="3" t="s">
        <v>7606</v>
      </c>
      <c r="P776" s="3" t="s">
        <v>7607</v>
      </c>
      <c r="Q776" s="3" t="s">
        <v>7608</v>
      </c>
      <c r="R776" s="3" t="s">
        <v>7608</v>
      </c>
      <c r="S776" s="2" t="s">
        <v>38</v>
      </c>
      <c r="T776" s="2" t="s">
        <v>39</v>
      </c>
      <c r="U776" s="2" t="s">
        <v>40</v>
      </c>
      <c r="V776" s="3"/>
    </row>
    <row r="777" spans="1:22">
      <c r="A777" s="2">
        <v>776</v>
      </c>
      <c r="B777" s="3" t="s">
        <v>7361</v>
      </c>
      <c r="C777" s="3" t="s">
        <v>7609</v>
      </c>
      <c r="D777" s="3" t="s">
        <v>7610</v>
      </c>
      <c r="E777" s="2" t="s">
        <v>7611</v>
      </c>
      <c r="F777" s="2" t="s">
        <v>26</v>
      </c>
      <c r="G777" s="3" t="s">
        <v>7612</v>
      </c>
      <c r="H777" s="2" t="s">
        <v>7613</v>
      </c>
      <c r="I777" s="3" t="s">
        <v>29</v>
      </c>
      <c r="J777" s="3" t="s">
        <v>7614</v>
      </c>
      <c r="K777" s="3" t="s">
        <v>47</v>
      </c>
      <c r="L777" s="3" t="s">
        <v>132</v>
      </c>
      <c r="M777" s="3" t="s">
        <v>7615</v>
      </c>
      <c r="N777" s="3" t="s">
        <v>7616</v>
      </c>
      <c r="O777" s="3" t="s">
        <v>7617</v>
      </c>
      <c r="P777" s="3" t="s">
        <v>7618</v>
      </c>
      <c r="Q777" s="3" t="s">
        <v>7619</v>
      </c>
      <c r="R777" s="3" t="s">
        <v>7619</v>
      </c>
      <c r="S777" s="2" t="s">
        <v>38</v>
      </c>
      <c r="T777" s="2" t="s">
        <v>39</v>
      </c>
      <c r="U777" s="2" t="s">
        <v>40</v>
      </c>
      <c r="V777" s="3"/>
    </row>
    <row r="778" spans="1:22">
      <c r="A778" s="2">
        <v>777</v>
      </c>
      <c r="B778" s="3" t="s">
        <v>7361</v>
      </c>
      <c r="C778" s="3" t="s">
        <v>7620</v>
      </c>
      <c r="D778" s="3" t="s">
        <v>7621</v>
      </c>
      <c r="E778" s="2" t="s">
        <v>3444</v>
      </c>
      <c r="F778" s="2" t="s">
        <v>26</v>
      </c>
      <c r="G778" s="3" t="s">
        <v>7622</v>
      </c>
      <c r="H778" s="2" t="s">
        <v>7623</v>
      </c>
      <c r="I778" s="3" t="s">
        <v>29</v>
      </c>
      <c r="J778" s="3" t="s">
        <v>7624</v>
      </c>
      <c r="K778" s="3" t="s">
        <v>365</v>
      </c>
      <c r="L778" s="3" t="s">
        <v>61</v>
      </c>
      <c r="M778" s="3" t="s">
        <v>7625</v>
      </c>
      <c r="N778" s="3" t="s">
        <v>7626</v>
      </c>
      <c r="O778" s="3" t="s">
        <v>7627</v>
      </c>
      <c r="P778" s="3" t="s">
        <v>7628</v>
      </c>
      <c r="Q778" s="3" t="s">
        <v>7629</v>
      </c>
      <c r="R778" s="3" t="s">
        <v>7629</v>
      </c>
      <c r="S778" s="2" t="s">
        <v>38</v>
      </c>
      <c r="T778" s="2" t="s">
        <v>39</v>
      </c>
      <c r="U778" s="2" t="s">
        <v>40</v>
      </c>
      <c r="V778" s="3"/>
    </row>
    <row r="779" spans="1:22">
      <c r="A779" s="2">
        <v>778</v>
      </c>
      <c r="B779" s="3" t="s">
        <v>7361</v>
      </c>
      <c r="C779" s="3" t="s">
        <v>7630</v>
      </c>
      <c r="D779" s="3" t="s">
        <v>7631</v>
      </c>
      <c r="E779" s="2" t="s">
        <v>383</v>
      </c>
      <c r="F779" s="2" t="s">
        <v>26</v>
      </c>
      <c r="G779" s="3" t="s">
        <v>7632</v>
      </c>
      <c r="H779" s="2" t="s">
        <v>7633</v>
      </c>
      <c r="I779" s="3" t="s">
        <v>29</v>
      </c>
      <c r="J779" s="3" t="s">
        <v>7634</v>
      </c>
      <c r="K779" s="3" t="s">
        <v>47</v>
      </c>
      <c r="L779" s="3" t="s">
        <v>323</v>
      </c>
      <c r="M779" s="3" t="s">
        <v>7635</v>
      </c>
      <c r="N779" s="3" t="s">
        <v>5946</v>
      </c>
      <c r="O779" s="3" t="s">
        <v>7636</v>
      </c>
      <c r="P779" s="3" t="s">
        <v>7637</v>
      </c>
      <c r="Q779" s="3" t="s">
        <v>7638</v>
      </c>
      <c r="R779" s="3" t="s">
        <v>7638</v>
      </c>
      <c r="S779" s="2" t="s">
        <v>38</v>
      </c>
      <c r="T779" s="2" t="s">
        <v>39</v>
      </c>
      <c r="U779" s="2" t="s">
        <v>40</v>
      </c>
      <c r="V779" s="3"/>
    </row>
    <row r="780" spans="1:22">
      <c r="A780" s="2">
        <v>779</v>
      </c>
      <c r="B780" s="3" t="s">
        <v>7361</v>
      </c>
      <c r="C780" s="3" t="s">
        <v>7639</v>
      </c>
      <c r="D780" s="3" t="s">
        <v>7640</v>
      </c>
      <c r="E780" s="2" t="s">
        <v>56</v>
      </c>
      <c r="F780" s="2" t="s">
        <v>26</v>
      </c>
      <c r="G780" s="3" t="s">
        <v>7641</v>
      </c>
      <c r="H780" s="2" t="s">
        <v>7642</v>
      </c>
      <c r="I780" s="3" t="s">
        <v>29</v>
      </c>
      <c r="J780" s="3" t="s">
        <v>7643</v>
      </c>
      <c r="K780" s="3" t="s">
        <v>272</v>
      </c>
      <c r="L780" s="3" t="s">
        <v>323</v>
      </c>
      <c r="M780" s="3" t="s">
        <v>7644</v>
      </c>
      <c r="N780" s="3" t="s">
        <v>7645</v>
      </c>
      <c r="O780" s="3" t="s">
        <v>7646</v>
      </c>
      <c r="P780" s="3" t="s">
        <v>7647</v>
      </c>
      <c r="Q780" s="3" t="s">
        <v>7648</v>
      </c>
      <c r="R780" s="3" t="s">
        <v>7648</v>
      </c>
      <c r="S780" s="2" t="s">
        <v>38</v>
      </c>
      <c r="T780" s="2" t="s">
        <v>39</v>
      </c>
      <c r="U780" s="2" t="s">
        <v>40</v>
      </c>
      <c r="V780" s="3"/>
    </row>
    <row r="781" spans="1:22">
      <c r="A781" s="2">
        <v>780</v>
      </c>
      <c r="B781" s="3" t="s">
        <v>7361</v>
      </c>
      <c r="C781" s="3" t="s">
        <v>7649</v>
      </c>
      <c r="D781" s="3" t="s">
        <v>7650</v>
      </c>
      <c r="E781" s="2" t="s">
        <v>206</v>
      </c>
      <c r="F781" s="2" t="s">
        <v>26</v>
      </c>
      <c r="G781" s="3" t="s">
        <v>7651</v>
      </c>
      <c r="H781" s="2" t="s">
        <v>7652</v>
      </c>
      <c r="I781" s="3" t="s">
        <v>29</v>
      </c>
      <c r="J781" s="3" t="s">
        <v>7653</v>
      </c>
      <c r="K781" s="3" t="s">
        <v>47</v>
      </c>
      <c r="L781" s="3" t="s">
        <v>323</v>
      </c>
      <c r="M781" s="3" t="s">
        <v>7654</v>
      </c>
      <c r="N781" s="3" t="s">
        <v>7655</v>
      </c>
      <c r="O781" s="3" t="s">
        <v>7656</v>
      </c>
      <c r="P781" s="3" t="s">
        <v>7657</v>
      </c>
      <c r="Q781" s="3" t="s">
        <v>7658</v>
      </c>
      <c r="R781" s="3" t="s">
        <v>7658</v>
      </c>
      <c r="S781" s="2" t="s">
        <v>38</v>
      </c>
      <c r="T781" s="2" t="s">
        <v>39</v>
      </c>
      <c r="U781" s="2" t="s">
        <v>40</v>
      </c>
      <c r="V781" s="3"/>
    </row>
    <row r="782" spans="1:22">
      <c r="A782" s="2">
        <v>781</v>
      </c>
      <c r="B782" s="3" t="s">
        <v>7361</v>
      </c>
      <c r="C782" s="3" t="s">
        <v>7659</v>
      </c>
      <c r="D782" s="3" t="s">
        <v>7660</v>
      </c>
      <c r="E782" s="2" t="s">
        <v>185</v>
      </c>
      <c r="F782" s="2" t="s">
        <v>26</v>
      </c>
      <c r="G782" s="3" t="s">
        <v>7661</v>
      </c>
      <c r="H782" s="2" t="s">
        <v>7662</v>
      </c>
      <c r="I782" s="3" t="s">
        <v>29</v>
      </c>
      <c r="J782" s="3" t="s">
        <v>7663</v>
      </c>
      <c r="K782" s="3" t="s">
        <v>47</v>
      </c>
      <c r="L782" s="3" t="s">
        <v>323</v>
      </c>
      <c r="M782" s="3" t="s">
        <v>7664</v>
      </c>
      <c r="N782" s="3" t="s">
        <v>7665</v>
      </c>
      <c r="O782" s="3" t="s">
        <v>7666</v>
      </c>
      <c r="P782" s="3" t="s">
        <v>7667</v>
      </c>
      <c r="Q782" s="3" t="s">
        <v>7668</v>
      </c>
      <c r="R782" s="3" t="s">
        <v>7668</v>
      </c>
      <c r="S782" s="2" t="s">
        <v>38</v>
      </c>
      <c r="T782" s="2" t="s">
        <v>39</v>
      </c>
      <c r="U782" s="2" t="s">
        <v>40</v>
      </c>
      <c r="V782" s="3"/>
    </row>
    <row r="783" spans="1:22">
      <c r="A783" s="2">
        <v>782</v>
      </c>
      <c r="B783" s="3" t="s">
        <v>7361</v>
      </c>
      <c r="C783" s="3" t="s">
        <v>7669</v>
      </c>
      <c r="D783" s="3" t="s">
        <v>7670</v>
      </c>
      <c r="E783" s="2" t="s">
        <v>81</v>
      </c>
      <c r="F783" s="2" t="s">
        <v>26</v>
      </c>
      <c r="G783" s="3" t="s">
        <v>7671</v>
      </c>
      <c r="H783" s="2" t="s">
        <v>7672</v>
      </c>
      <c r="I783" s="3" t="s">
        <v>29</v>
      </c>
      <c r="J783" s="3" t="s">
        <v>7673</v>
      </c>
      <c r="K783" s="3" t="s">
        <v>47</v>
      </c>
      <c r="L783" s="3" t="s">
        <v>132</v>
      </c>
      <c r="M783" s="3" t="s">
        <v>7674</v>
      </c>
      <c r="N783" s="3" t="s">
        <v>7675</v>
      </c>
      <c r="O783" s="3" t="s">
        <v>7676</v>
      </c>
      <c r="P783" s="3" t="s">
        <v>7677</v>
      </c>
      <c r="Q783" s="3" t="s">
        <v>7678</v>
      </c>
      <c r="R783" s="3" t="s">
        <v>7678</v>
      </c>
      <c r="S783" s="2" t="s">
        <v>38</v>
      </c>
      <c r="T783" s="2" t="s">
        <v>39</v>
      </c>
      <c r="U783" s="2" t="s">
        <v>40</v>
      </c>
      <c r="V783" s="3"/>
    </row>
    <row r="784" spans="1:22">
      <c r="A784" s="2">
        <v>783</v>
      </c>
      <c r="B784" s="3" t="s">
        <v>7361</v>
      </c>
      <c r="C784" s="3" t="s">
        <v>7679</v>
      </c>
      <c r="D784" s="3" t="s">
        <v>7680</v>
      </c>
      <c r="E784" s="2" t="s">
        <v>642</v>
      </c>
      <c r="F784" s="2" t="s">
        <v>26</v>
      </c>
      <c r="G784" s="3" t="s">
        <v>7681</v>
      </c>
      <c r="H784" s="2" t="s">
        <v>7682</v>
      </c>
      <c r="I784" s="3" t="s">
        <v>29</v>
      </c>
      <c r="J784" s="3" t="s">
        <v>7683</v>
      </c>
      <c r="K784" s="3" t="s">
        <v>47</v>
      </c>
      <c r="L784" s="3" t="s">
        <v>48</v>
      </c>
      <c r="M784" s="3" t="s">
        <v>7684</v>
      </c>
      <c r="N784" s="3" t="s">
        <v>7685</v>
      </c>
      <c r="O784" s="3" t="s">
        <v>7686</v>
      </c>
      <c r="P784" s="3" t="s">
        <v>7687</v>
      </c>
      <c r="Q784" s="3" t="s">
        <v>7688</v>
      </c>
      <c r="R784" s="3" t="s">
        <v>7688</v>
      </c>
      <c r="S784" s="2" t="s">
        <v>38</v>
      </c>
      <c r="T784" s="2" t="s">
        <v>39</v>
      </c>
      <c r="U784" s="2" t="s">
        <v>40</v>
      </c>
      <c r="V784" s="3"/>
    </row>
    <row r="785" spans="1:22">
      <c r="A785" s="2">
        <v>784</v>
      </c>
      <c r="B785" s="3" t="s">
        <v>7361</v>
      </c>
      <c r="C785" s="3" t="s">
        <v>7689</v>
      </c>
      <c r="D785" s="3" t="s">
        <v>7690</v>
      </c>
      <c r="E785" s="2" t="s">
        <v>69</v>
      </c>
      <c r="F785" s="2" t="s">
        <v>26</v>
      </c>
      <c r="G785" s="3" t="s">
        <v>7691</v>
      </c>
      <c r="H785" s="2" t="s">
        <v>7692</v>
      </c>
      <c r="I785" s="3" t="s">
        <v>29</v>
      </c>
      <c r="J785" s="3" t="s">
        <v>7693</v>
      </c>
      <c r="K785" s="3" t="s">
        <v>47</v>
      </c>
      <c r="L785" s="3" t="s">
        <v>293</v>
      </c>
      <c r="M785" s="3" t="s">
        <v>7694</v>
      </c>
      <c r="N785" s="3" t="s">
        <v>7695</v>
      </c>
      <c r="O785" s="3" t="s">
        <v>7696</v>
      </c>
      <c r="P785" s="3" t="s">
        <v>7697</v>
      </c>
      <c r="Q785" s="3" t="s">
        <v>7698</v>
      </c>
      <c r="R785" s="3" t="s">
        <v>7698</v>
      </c>
      <c r="S785" s="2" t="s">
        <v>38</v>
      </c>
      <c r="T785" s="2" t="s">
        <v>39</v>
      </c>
      <c r="U785" s="2" t="s">
        <v>40</v>
      </c>
      <c r="V785" s="3"/>
    </row>
    <row r="786" spans="1:22">
      <c r="A786" s="2">
        <v>785</v>
      </c>
      <c r="B786" s="3" t="s">
        <v>7361</v>
      </c>
      <c r="C786" s="3" t="s">
        <v>7699</v>
      </c>
      <c r="D786" s="3" t="s">
        <v>7700</v>
      </c>
      <c r="E786" s="2" t="s">
        <v>621</v>
      </c>
      <c r="F786" s="2" t="s">
        <v>26</v>
      </c>
      <c r="G786" s="3" t="s">
        <v>7701</v>
      </c>
      <c r="H786" s="2" t="s">
        <v>7702</v>
      </c>
      <c r="I786" s="3" t="s">
        <v>29</v>
      </c>
      <c r="J786" s="3" t="s">
        <v>7703</v>
      </c>
      <c r="K786" s="3" t="s">
        <v>47</v>
      </c>
      <c r="L786" s="3" t="s">
        <v>132</v>
      </c>
      <c r="M786" s="3" t="s">
        <v>7704</v>
      </c>
      <c r="N786" s="3" t="s">
        <v>7705</v>
      </c>
      <c r="O786" s="3" t="s">
        <v>7706</v>
      </c>
      <c r="P786" s="3" t="s">
        <v>7707</v>
      </c>
      <c r="Q786" s="3" t="s">
        <v>7708</v>
      </c>
      <c r="R786" s="3" t="s">
        <v>7708</v>
      </c>
      <c r="S786" s="2" t="s">
        <v>38</v>
      </c>
      <c r="T786" s="2" t="s">
        <v>39</v>
      </c>
      <c r="U786" s="2" t="s">
        <v>40</v>
      </c>
      <c r="V786" s="3"/>
    </row>
    <row r="787" spans="1:22">
      <c r="A787" s="2">
        <v>786</v>
      </c>
      <c r="B787" s="3" t="s">
        <v>7361</v>
      </c>
      <c r="C787" s="3" t="s">
        <v>7709</v>
      </c>
      <c r="D787" s="3" t="s">
        <v>7710</v>
      </c>
      <c r="E787" s="2" t="s">
        <v>984</v>
      </c>
      <c r="F787" s="2" t="s">
        <v>26</v>
      </c>
      <c r="G787" s="3" t="s">
        <v>7711</v>
      </c>
      <c r="H787" s="2" t="s">
        <v>7712</v>
      </c>
      <c r="I787" s="3" t="s">
        <v>29</v>
      </c>
      <c r="J787" s="3" t="s">
        <v>7713</v>
      </c>
      <c r="K787" s="3" t="s">
        <v>47</v>
      </c>
      <c r="L787" s="3" t="s">
        <v>323</v>
      </c>
      <c r="M787" s="3" t="s">
        <v>7714</v>
      </c>
      <c r="N787" s="3" t="s">
        <v>7715</v>
      </c>
      <c r="O787" s="3" t="s">
        <v>7716</v>
      </c>
      <c r="P787" s="3" t="s">
        <v>7717</v>
      </c>
      <c r="Q787" s="3" t="s">
        <v>7718</v>
      </c>
      <c r="R787" s="3" t="s">
        <v>7718</v>
      </c>
      <c r="S787" s="2" t="s">
        <v>38</v>
      </c>
      <c r="T787" s="2" t="s">
        <v>39</v>
      </c>
      <c r="U787" s="2" t="s">
        <v>40</v>
      </c>
      <c r="V787" s="3"/>
    </row>
    <row r="788" spans="1:22">
      <c r="A788" s="2">
        <v>787</v>
      </c>
      <c r="B788" s="3" t="s">
        <v>7361</v>
      </c>
      <c r="C788" s="3" t="s">
        <v>7719</v>
      </c>
      <c r="D788" s="3" t="s">
        <v>7720</v>
      </c>
      <c r="E788" s="2" t="s">
        <v>103</v>
      </c>
      <c r="F788" s="2" t="s">
        <v>26</v>
      </c>
      <c r="G788" s="3" t="s">
        <v>7721</v>
      </c>
      <c r="H788" s="2" t="s">
        <v>7722</v>
      </c>
      <c r="I788" s="3" t="s">
        <v>29</v>
      </c>
      <c r="J788" s="3" t="s">
        <v>7723</v>
      </c>
      <c r="K788" s="3" t="s">
        <v>47</v>
      </c>
      <c r="L788" s="3" t="s">
        <v>323</v>
      </c>
      <c r="M788" s="3" t="s">
        <v>7724</v>
      </c>
      <c r="N788" s="3" t="s">
        <v>7725</v>
      </c>
      <c r="O788" s="3" t="s">
        <v>7726</v>
      </c>
      <c r="P788" s="3" t="s">
        <v>7727</v>
      </c>
      <c r="Q788" s="3" t="s">
        <v>7728</v>
      </c>
      <c r="R788" s="3" t="s">
        <v>7728</v>
      </c>
      <c r="S788" s="2" t="s">
        <v>3054</v>
      </c>
      <c r="T788" s="2" t="s">
        <v>39</v>
      </c>
      <c r="U788" s="2" t="s">
        <v>40</v>
      </c>
      <c r="V788" s="3"/>
    </row>
    <row r="789" spans="1:22">
      <c r="A789" s="2">
        <v>788</v>
      </c>
      <c r="B789" s="3" t="s">
        <v>7361</v>
      </c>
      <c r="C789" s="3" t="s">
        <v>7729</v>
      </c>
      <c r="D789" s="3" t="s">
        <v>7730</v>
      </c>
      <c r="E789" s="2" t="s">
        <v>103</v>
      </c>
      <c r="F789" s="2" t="s">
        <v>26</v>
      </c>
      <c r="G789" s="3" t="s">
        <v>7731</v>
      </c>
      <c r="H789" s="2" t="s">
        <v>7732</v>
      </c>
      <c r="I789" s="3" t="s">
        <v>29</v>
      </c>
      <c r="J789" s="3" t="s">
        <v>7733</v>
      </c>
      <c r="K789" s="3" t="s">
        <v>47</v>
      </c>
      <c r="L789" s="3" t="s">
        <v>293</v>
      </c>
      <c r="M789" s="3" t="s">
        <v>7734</v>
      </c>
      <c r="N789" s="3" t="s">
        <v>7735</v>
      </c>
      <c r="O789" s="3" t="s">
        <v>7736</v>
      </c>
      <c r="P789" s="3" t="s">
        <v>7737</v>
      </c>
      <c r="Q789" s="3" t="s">
        <v>7738</v>
      </c>
      <c r="R789" s="3" t="s">
        <v>7738</v>
      </c>
      <c r="S789" s="2" t="s">
        <v>3054</v>
      </c>
      <c r="T789" s="2" t="s">
        <v>39</v>
      </c>
      <c r="U789" s="2" t="s">
        <v>40</v>
      </c>
      <c r="V789" s="3"/>
    </row>
    <row r="790" spans="1:22">
      <c r="A790" s="2">
        <v>789</v>
      </c>
      <c r="B790" s="3" t="s">
        <v>7361</v>
      </c>
      <c r="C790" s="3" t="s">
        <v>7739</v>
      </c>
      <c r="D790" s="3" t="s">
        <v>7740</v>
      </c>
      <c r="E790" s="2" t="s">
        <v>103</v>
      </c>
      <c r="F790" s="2" t="s">
        <v>26</v>
      </c>
      <c r="G790" s="3" t="s">
        <v>7741</v>
      </c>
      <c r="H790" s="2" t="s">
        <v>7742</v>
      </c>
      <c r="I790" s="3" t="s">
        <v>29</v>
      </c>
      <c r="J790" s="3" t="s">
        <v>7743</v>
      </c>
      <c r="K790" s="3" t="s">
        <v>47</v>
      </c>
      <c r="L790" s="3" t="s">
        <v>73</v>
      </c>
      <c r="M790" s="3" t="s">
        <v>7744</v>
      </c>
      <c r="N790" s="3" t="s">
        <v>7745</v>
      </c>
      <c r="O790" s="3" t="s">
        <v>7746</v>
      </c>
      <c r="P790" s="3" t="s">
        <v>7747</v>
      </c>
      <c r="Q790" s="3" t="s">
        <v>7748</v>
      </c>
      <c r="R790" s="3" t="s">
        <v>7748</v>
      </c>
      <c r="S790" s="2" t="s">
        <v>3054</v>
      </c>
      <c r="T790" s="2" t="s">
        <v>39</v>
      </c>
      <c r="U790" s="2" t="s">
        <v>40</v>
      </c>
      <c r="V790" s="3"/>
    </row>
    <row r="791" spans="1:22">
      <c r="A791" s="2">
        <v>790</v>
      </c>
      <c r="B791" s="3" t="s">
        <v>7361</v>
      </c>
      <c r="C791" s="3" t="s">
        <v>7749</v>
      </c>
      <c r="D791" s="3" t="s">
        <v>7750</v>
      </c>
      <c r="E791" s="2" t="s">
        <v>116</v>
      </c>
      <c r="F791" s="2" t="s">
        <v>26</v>
      </c>
      <c r="G791" s="3" t="s">
        <v>7751</v>
      </c>
      <c r="H791" s="2" t="s">
        <v>7752</v>
      </c>
      <c r="I791" s="3" t="s">
        <v>29</v>
      </c>
      <c r="J791" s="3" t="s">
        <v>7753</v>
      </c>
      <c r="K791" s="3" t="s">
        <v>47</v>
      </c>
      <c r="L791" s="3" t="s">
        <v>167</v>
      </c>
      <c r="M791" s="3" t="s">
        <v>7754</v>
      </c>
      <c r="N791" s="3" t="s">
        <v>7755</v>
      </c>
      <c r="O791" s="3" t="s">
        <v>7756</v>
      </c>
      <c r="P791" s="3" t="s">
        <v>7757</v>
      </c>
      <c r="Q791" s="3" t="s">
        <v>7758</v>
      </c>
      <c r="R791" s="3" t="s">
        <v>7758</v>
      </c>
      <c r="S791" s="2" t="s">
        <v>3054</v>
      </c>
      <c r="T791" s="2" t="s">
        <v>39</v>
      </c>
      <c r="U791" s="2" t="s">
        <v>40</v>
      </c>
      <c r="V791" s="3"/>
    </row>
    <row r="792" spans="1:22">
      <c r="A792" s="2">
        <v>791</v>
      </c>
      <c r="B792" s="3" t="s">
        <v>7361</v>
      </c>
      <c r="C792" s="3" t="s">
        <v>7759</v>
      </c>
      <c r="D792" s="3" t="s">
        <v>7760</v>
      </c>
      <c r="E792" s="2" t="s">
        <v>913</v>
      </c>
      <c r="F792" s="2" t="s">
        <v>26</v>
      </c>
      <c r="G792" s="3" t="s">
        <v>7761</v>
      </c>
      <c r="H792" s="2" t="s">
        <v>7762</v>
      </c>
      <c r="I792" s="3" t="s">
        <v>29</v>
      </c>
      <c r="J792" s="3" t="s">
        <v>7763</v>
      </c>
      <c r="K792" s="3" t="s">
        <v>47</v>
      </c>
      <c r="L792" s="3" t="s">
        <v>293</v>
      </c>
      <c r="M792" s="3" t="s">
        <v>7764</v>
      </c>
      <c r="N792" s="3" t="s">
        <v>7765</v>
      </c>
      <c r="O792" s="3" t="s">
        <v>7766</v>
      </c>
      <c r="P792" s="3" t="s">
        <v>7767</v>
      </c>
      <c r="Q792" s="3" t="s">
        <v>7768</v>
      </c>
      <c r="R792" s="3" t="s">
        <v>7768</v>
      </c>
      <c r="S792" s="2" t="s">
        <v>3054</v>
      </c>
      <c r="T792" s="2" t="s">
        <v>39</v>
      </c>
      <c r="U792" s="2" t="s">
        <v>40</v>
      </c>
      <c r="V792" s="3"/>
    </row>
    <row r="793" spans="1:22">
      <c r="A793" s="2">
        <v>792</v>
      </c>
      <c r="B793" s="3" t="s">
        <v>7361</v>
      </c>
      <c r="C793" s="3" t="s">
        <v>7769</v>
      </c>
      <c r="D793" s="3" t="s">
        <v>7770</v>
      </c>
      <c r="E793" s="2" t="s">
        <v>103</v>
      </c>
      <c r="F793" s="2" t="s">
        <v>26</v>
      </c>
      <c r="G793" s="3" t="s">
        <v>7771</v>
      </c>
      <c r="H793" s="2" t="s">
        <v>7772</v>
      </c>
      <c r="I793" s="3" t="s">
        <v>29</v>
      </c>
      <c r="J793" s="3" t="s">
        <v>7773</v>
      </c>
      <c r="K793" s="3" t="s">
        <v>47</v>
      </c>
      <c r="L793" s="3" t="s">
        <v>293</v>
      </c>
      <c r="M793" s="3" t="s">
        <v>7774</v>
      </c>
      <c r="N793" s="3" t="s">
        <v>7775</v>
      </c>
      <c r="O793" s="3" t="s">
        <v>7776</v>
      </c>
      <c r="P793" s="3" t="s">
        <v>7777</v>
      </c>
      <c r="Q793" s="3" t="s">
        <v>7778</v>
      </c>
      <c r="R793" s="3" t="s">
        <v>7778</v>
      </c>
      <c r="S793" s="2" t="s">
        <v>3054</v>
      </c>
      <c r="T793" s="2" t="s">
        <v>39</v>
      </c>
      <c r="U793" s="2" t="s">
        <v>40</v>
      </c>
      <c r="V793" s="3"/>
    </row>
    <row r="794" spans="1:22">
      <c r="A794" s="2">
        <v>793</v>
      </c>
      <c r="B794" s="3" t="s">
        <v>7361</v>
      </c>
      <c r="C794" s="3" t="s">
        <v>7779</v>
      </c>
      <c r="D794" s="3" t="s">
        <v>7780</v>
      </c>
      <c r="E794" s="2" t="s">
        <v>913</v>
      </c>
      <c r="F794" s="2" t="s">
        <v>26</v>
      </c>
      <c r="G794" s="3" t="s">
        <v>7781</v>
      </c>
      <c r="H794" s="2" t="s">
        <v>7782</v>
      </c>
      <c r="I794" s="3" t="s">
        <v>29</v>
      </c>
      <c r="J794" s="3" t="s">
        <v>7783</v>
      </c>
      <c r="K794" s="3" t="s">
        <v>1896</v>
      </c>
      <c r="L794" s="3" t="s">
        <v>167</v>
      </c>
      <c r="M794" s="3" t="s">
        <v>7784</v>
      </c>
      <c r="N794" s="3" t="s">
        <v>7785</v>
      </c>
      <c r="O794" s="3" t="s">
        <v>7786</v>
      </c>
      <c r="P794" s="3" t="s">
        <v>7787</v>
      </c>
      <c r="Q794" s="3" t="s">
        <v>7788</v>
      </c>
      <c r="R794" s="3" t="s">
        <v>7788</v>
      </c>
      <c r="S794" s="2" t="s">
        <v>3054</v>
      </c>
      <c r="T794" s="2" t="s">
        <v>39</v>
      </c>
      <c r="U794" s="2" t="s">
        <v>40</v>
      </c>
      <c r="V794" s="3"/>
    </row>
  </sheetData>
  <conditionalFormatting sqref="I2:I808">
    <cfRule type="expression" dxfId="2" priority="1">
      <formula>$I2="Complete"</formula>
    </cfRule>
    <cfRule type="expression" dxfId="1" priority="2">
      <formula>$I2="Needs review"</formula>
    </cfRule>
  </conditionalFormatting>
  <conditionalFormatting sqref="T2:T808">
    <cfRule type="expression" dxfId="0" priority="3">
      <formula>$T2="Needs correction"</formula>
    </cfRule>
  </conditionalFormatting>
  <dataValidations count="3">
    <dataValidation type="list" sqref="I2:I808" xr:uid="{00000000-0002-0000-0000-000000000000}">
      <formula1>"Not started,In research,Subject researched only,Complete,Needs review,Blocked"</formula1>
    </dataValidation>
    <dataValidation type="list" allowBlank="1" sqref="R2:R808" xr:uid="{00000000-0002-0000-0000-000001000000}">
      <formula1>"High,Medium,Low"</formula1>
    </dataValidation>
    <dataValidation type="list" sqref="T2:T808" xr:uid="{00000000-0002-0000-0000-000002000000}">
      <formula1>"Not reviewed,Passed,Needs correction"</formula1>
    </dataValidation>
  </dataValidation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pane ySplit="8" topLeftCell="A9" activePane="bottomLeft" state="frozen"/>
      <selection pane="bottomLeft"/>
    </sheetView>
  </sheetViews>
  <sheetFormatPr defaultRowHeight="15"/>
  <cols>
    <col min="1" max="1" width="28" customWidth="1"/>
    <col min="2" max="4" width="14" customWidth="1"/>
  </cols>
  <sheetData>
    <row r="1" spans="1:4">
      <c r="A1" s="11" t="s">
        <v>7789</v>
      </c>
      <c r="B1" s="12"/>
      <c r="C1" s="12"/>
      <c r="D1" s="12"/>
    </row>
    <row r="2" spans="1:4">
      <c r="A2" t="s">
        <v>7790</v>
      </c>
      <c r="B2">
        <f>COUNTA('Research Tracker'!C2:C794)</f>
        <v>793</v>
      </c>
    </row>
    <row r="3" spans="1:4">
      <c r="A3" t="s">
        <v>29</v>
      </c>
      <c r="B3">
        <f>COUNTIF('Research Tracker'!I2:I794,"Complete")</f>
        <v>793</v>
      </c>
    </row>
    <row r="4" spans="1:4">
      <c r="A4" t="s">
        <v>7791</v>
      </c>
      <c r="B4">
        <f>COUNTIF('Research Tracker'!I2:I794,"Subject researched only")</f>
        <v>0</v>
      </c>
    </row>
    <row r="5" spans="1:4">
      <c r="A5" t="s">
        <v>7792</v>
      </c>
      <c r="B5">
        <f>COUNTIF('Research Tracker'!I2:I794,"Not started")</f>
        <v>0</v>
      </c>
    </row>
    <row r="6" spans="1:4">
      <c r="A6" t="s">
        <v>7793</v>
      </c>
      <c r="B6">
        <f>COUNTIF('Research Tracker'!I2:I794,"Needs review")</f>
        <v>0</v>
      </c>
    </row>
    <row r="7" spans="1:4">
      <c r="A7" t="s">
        <v>7794</v>
      </c>
      <c r="B7" s="5">
        <f>B3/B2</f>
        <v>1</v>
      </c>
    </row>
    <row r="9" spans="1:4">
      <c r="A9" s="4" t="s">
        <v>1</v>
      </c>
      <c r="B9" s="4" t="s">
        <v>7795</v>
      </c>
      <c r="C9" s="4" t="s">
        <v>29</v>
      </c>
      <c r="D9" s="4" t="s">
        <v>7796</v>
      </c>
    </row>
    <row r="10" spans="1:4">
      <c r="A10" t="s">
        <v>22</v>
      </c>
      <c r="B10">
        <f>COUNTIF('Research Tracker'!B:B,A10)</f>
        <v>50</v>
      </c>
      <c r="C10">
        <f>COUNTIFS('Research Tracker'!B:B,A10,'Research Tracker'!I:I,"Complete")</f>
        <v>50</v>
      </c>
      <c r="D10">
        <f>B10-C10</f>
        <v>0</v>
      </c>
    </row>
    <row r="11" spans="1:4">
      <c r="A11" t="s">
        <v>567</v>
      </c>
      <c r="B11">
        <f>COUNTIF('Research Tracker'!B:B,A11)</f>
        <v>50</v>
      </c>
      <c r="C11">
        <f>COUNTIFS('Research Tracker'!B:B,A11,'Research Tracker'!I:I,"Complete")</f>
        <v>50</v>
      </c>
      <c r="D11">
        <f>B11-C11</f>
        <v>0</v>
      </c>
    </row>
    <row r="12" spans="1:4">
      <c r="A12" t="s">
        <v>1076</v>
      </c>
      <c r="B12">
        <f>COUNTIF('Research Tracker'!B:B,A12)</f>
        <v>50</v>
      </c>
      <c r="C12">
        <f>COUNTIFS('Research Tracker'!B:B,A12,'Research Tracker'!I:I,"Complete")</f>
        <v>50</v>
      </c>
      <c r="D12">
        <f>B12-C12</f>
        <v>0</v>
      </c>
    </row>
    <row r="13" spans="1:4">
      <c r="A13" t="s">
        <v>1578</v>
      </c>
      <c r="B13">
        <f>COUNTIF('Research Tracker'!B:B,A13)</f>
        <v>50</v>
      </c>
      <c r="C13">
        <f>COUNTIFS('Research Tracker'!B:B,A13,'Research Tracker'!I:I,"Complete")</f>
        <v>50</v>
      </c>
      <c r="D13">
        <f>B13-C13</f>
        <v>0</v>
      </c>
    </row>
    <row r="14" spans="1:4">
      <c r="A14" t="s">
        <v>2082</v>
      </c>
      <c r="B14">
        <f>COUNTIF('Research Tracker'!B:B,A14)</f>
        <v>50</v>
      </c>
      <c r="C14">
        <f>COUNTIFS('Research Tracker'!B:B,A14,'Research Tracker'!I:I,"Complete")</f>
        <v>50</v>
      </c>
      <c r="D14">
        <f>B14-C14</f>
        <v>0</v>
      </c>
    </row>
    <row r="15" spans="1:4">
      <c r="A15" t="s">
        <v>2582</v>
      </c>
      <c r="B15">
        <f>COUNTIF('Research Tracker'!B:B,A15)</f>
        <v>50</v>
      </c>
      <c r="C15">
        <f>COUNTIFS('Research Tracker'!B:B,A15,'Research Tracker'!I:I,"Complete")</f>
        <v>50</v>
      </c>
      <c r="D15">
        <f>B15-C15</f>
        <v>0</v>
      </c>
    </row>
    <row r="16" spans="1:4">
      <c r="A16" t="s">
        <v>3083</v>
      </c>
      <c r="B16">
        <f>COUNTIF('Research Tracker'!B:B,A16)</f>
        <v>50</v>
      </c>
      <c r="C16">
        <f>COUNTIFS('Research Tracker'!B:B,A16,'Research Tracker'!I:I,"Complete")</f>
        <v>50</v>
      </c>
      <c r="D16">
        <f>B16-C16</f>
        <v>0</v>
      </c>
    </row>
    <row r="17" spans="1:4">
      <c r="A17" t="s">
        <v>3583</v>
      </c>
      <c r="B17">
        <f>COUNTIF('Research Tracker'!B:B,A17)</f>
        <v>50</v>
      </c>
      <c r="C17">
        <f>COUNTIFS('Research Tracker'!B:B,A17,'Research Tracker'!I:I,"Complete")</f>
        <v>50</v>
      </c>
      <c r="D17">
        <f>B17-C17</f>
        <v>0</v>
      </c>
    </row>
    <row r="18" spans="1:4">
      <c r="A18" t="s">
        <v>4083</v>
      </c>
      <c r="B18">
        <f>COUNTIF('Research Tracker'!B:B,A18)</f>
        <v>50</v>
      </c>
      <c r="C18">
        <f>COUNTIFS('Research Tracker'!B:B,A18,'Research Tracker'!I:I,"Complete")</f>
        <v>50</v>
      </c>
      <c r="D18">
        <f>B18-C18</f>
        <v>0</v>
      </c>
    </row>
    <row r="19" spans="1:4">
      <c r="A19" t="s">
        <v>4580</v>
      </c>
      <c r="B19">
        <f>COUNTIF('Research Tracker'!B:B,A19)</f>
        <v>50</v>
      </c>
      <c r="C19">
        <f>COUNTIFS('Research Tracker'!B:B,A19,'Research Tracker'!I:I,"Complete")</f>
        <v>50</v>
      </c>
      <c r="D19">
        <f>B19-C19</f>
        <v>0</v>
      </c>
    </row>
    <row r="20" spans="1:4">
      <c r="A20" t="s">
        <v>5079</v>
      </c>
      <c r="B20">
        <f>COUNTIF('Research Tracker'!B:B,A20)</f>
        <v>50</v>
      </c>
      <c r="C20">
        <f>COUNTIFS('Research Tracker'!B:B,A20,'Research Tracker'!I:I,"Complete")</f>
        <v>50</v>
      </c>
      <c r="D20">
        <f>B20-C20</f>
        <v>0</v>
      </c>
    </row>
    <row r="21" spans="1:4">
      <c r="A21" t="s">
        <v>5521</v>
      </c>
      <c r="B21">
        <f>COUNTIF('Research Tracker'!B:B,A21)</f>
        <v>50</v>
      </c>
      <c r="C21">
        <f>COUNTIFS('Research Tracker'!B:B,A21,'Research Tracker'!I:I,"Complete")</f>
        <v>50</v>
      </c>
      <c r="D21">
        <f>B21-C21</f>
        <v>0</v>
      </c>
    </row>
    <row r="22" spans="1:4">
      <c r="A22" t="s">
        <v>5960</v>
      </c>
      <c r="B22">
        <f>COUNTIF('Research Tracker'!B:B,A22)</f>
        <v>50</v>
      </c>
      <c r="C22">
        <f>COUNTIFS('Research Tracker'!B:B,A22,'Research Tracker'!I:I,"Complete")</f>
        <v>50</v>
      </c>
      <c r="D22">
        <f>B22-C22</f>
        <v>0</v>
      </c>
    </row>
    <row r="23" spans="1:4">
      <c r="A23" t="s">
        <v>6429</v>
      </c>
      <c r="B23">
        <f>COUNTIF('Research Tracker'!B:B,A23)</f>
        <v>50</v>
      </c>
      <c r="C23">
        <f>COUNTIFS('Research Tracker'!B:B,A23,'Research Tracker'!I:I,"Complete")</f>
        <v>50</v>
      </c>
      <c r="D23">
        <f>B23-C23</f>
        <v>0</v>
      </c>
    </row>
    <row r="24" spans="1:4">
      <c r="A24" t="s">
        <v>6863</v>
      </c>
      <c r="B24">
        <f>COUNTIF('Research Tracker'!B:B,A24)</f>
        <v>50</v>
      </c>
      <c r="C24">
        <f>COUNTIFS('Research Tracker'!B:B,A24,'Research Tracker'!I:I,"Complete")</f>
        <v>50</v>
      </c>
      <c r="D24">
        <f>B24-C24</f>
        <v>0</v>
      </c>
    </row>
    <row r="25" spans="1:4">
      <c r="A25" t="s">
        <v>7361</v>
      </c>
      <c r="B25">
        <f>COUNTIF('Research Tracker'!B:B,A25)</f>
        <v>43</v>
      </c>
      <c r="C25">
        <f>COUNTIFS('Research Tracker'!B:B,A25,'Research Tracker'!I:I,"Complete")</f>
        <v>43</v>
      </c>
      <c r="D25">
        <f>B25-C25</f>
        <v>0</v>
      </c>
    </row>
    <row r="26" spans="1:4">
      <c r="A26" t="s">
        <v>7797</v>
      </c>
      <c r="B26">
        <f>COUNTIF('Research Tracker'!B:B,A26)</f>
        <v>0</v>
      </c>
      <c r="C26">
        <f>COUNTIFS('Research Tracker'!B:B,A26,'Research Tracker'!I:I,"Complete")</f>
        <v>0</v>
      </c>
      <c r="D26">
        <f>B26-C26</f>
        <v>0</v>
      </c>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pane ySplit="1" topLeftCell="A2" activePane="bottomLeft" state="frozen"/>
      <selection pane="bottomLeft"/>
    </sheetView>
  </sheetViews>
  <sheetFormatPr defaultRowHeight="15"/>
  <cols>
    <col min="1" max="1" width="16" customWidth="1"/>
    <col min="2" max="2" width="14" customWidth="1"/>
    <col min="3" max="3" width="50" customWidth="1"/>
    <col min="4" max="4" width="110" customWidth="1"/>
  </cols>
  <sheetData>
    <row r="1" spans="1:4">
      <c r="A1" s="6" t="s">
        <v>7798</v>
      </c>
      <c r="B1" s="6" t="s">
        <v>7799</v>
      </c>
      <c r="C1" s="6" t="s">
        <v>7800</v>
      </c>
      <c r="D1" s="6" t="s">
        <v>7801</v>
      </c>
    </row>
    <row r="2" spans="1:4">
      <c r="A2" s="3" t="s">
        <v>9</v>
      </c>
      <c r="B2" s="3" t="s">
        <v>7802</v>
      </c>
      <c r="C2" s="3" t="s">
        <v>7803</v>
      </c>
      <c r="D2" s="3" t="s">
        <v>7804</v>
      </c>
    </row>
    <row r="3" spans="1:4">
      <c r="A3" s="3" t="s">
        <v>10</v>
      </c>
      <c r="B3" s="3" t="s">
        <v>7802</v>
      </c>
      <c r="C3" s="3" t="s">
        <v>7805</v>
      </c>
      <c r="D3" s="3" t="s">
        <v>7806</v>
      </c>
    </row>
    <row r="4" spans="1:4">
      <c r="A4" s="3" t="s">
        <v>11</v>
      </c>
      <c r="B4" s="3" t="s">
        <v>7802</v>
      </c>
      <c r="C4" s="3" t="s">
        <v>7807</v>
      </c>
      <c r="D4" s="3" t="s">
        <v>7808</v>
      </c>
    </row>
    <row r="5" spans="1:4">
      <c r="A5" s="3" t="s">
        <v>12</v>
      </c>
      <c r="B5" s="3" t="s">
        <v>7809</v>
      </c>
      <c r="C5" s="3" t="s">
        <v>7810</v>
      </c>
      <c r="D5" s="3" t="s">
        <v>7811</v>
      </c>
    </row>
    <row r="6" spans="1:4">
      <c r="A6" s="3" t="s">
        <v>13</v>
      </c>
      <c r="B6" s="3" t="s">
        <v>7812</v>
      </c>
      <c r="C6" s="3" t="s">
        <v>7813</v>
      </c>
      <c r="D6" s="3" t="s">
        <v>7814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2"/>
  <sheetViews>
    <sheetView showGridLines="0" workbookViewId="0">
      <pane ySplit="1" topLeftCell="A2" activePane="bottomLeft" state="frozen"/>
      <selection pane="bottomLeft"/>
    </sheetView>
  </sheetViews>
  <sheetFormatPr defaultRowHeight="15"/>
  <cols>
    <col min="1" max="1" width="28" customWidth="1"/>
    <col min="2" max="2" width="115" customWidth="1"/>
  </cols>
  <sheetData>
    <row r="1" spans="1:2" ht="26.1" customHeight="1">
      <c r="A1" s="7" t="s">
        <v>7815</v>
      </c>
      <c r="B1" s="7" t="s">
        <v>7816</v>
      </c>
    </row>
    <row r="2" spans="1:2" ht="33.950000000000003" customHeight="1">
      <c r="A2" s="8" t="s">
        <v>7817</v>
      </c>
      <c r="B2" s="9" t="s">
        <v>7818</v>
      </c>
    </row>
    <row r="3" spans="1:2" ht="33.950000000000003" customHeight="1">
      <c r="A3" s="10" t="s">
        <v>7819</v>
      </c>
      <c r="B3" s="9" t="s">
        <v>7820</v>
      </c>
    </row>
    <row r="4" spans="1:2" ht="33.950000000000003" customHeight="1">
      <c r="A4" s="8" t="s">
        <v>7821</v>
      </c>
      <c r="B4" s="9" t="s">
        <v>7822</v>
      </c>
    </row>
    <row r="5" spans="1:2" ht="33.950000000000003" customHeight="1">
      <c r="A5" s="8" t="s">
        <v>7823</v>
      </c>
      <c r="B5" s="9" t="s">
        <v>7824</v>
      </c>
    </row>
    <row r="6" spans="1:2" ht="33.950000000000003" customHeight="1">
      <c r="A6" s="8" t="s">
        <v>7825</v>
      </c>
      <c r="B6" s="9" t="s">
        <v>7826</v>
      </c>
    </row>
    <row r="7" spans="1:2" ht="33.950000000000003" customHeight="1">
      <c r="A7" s="8" t="s">
        <v>7827</v>
      </c>
      <c r="B7" s="9" t="s">
        <v>7828</v>
      </c>
    </row>
    <row r="8" spans="1:2" ht="33.950000000000003" customHeight="1">
      <c r="A8" s="10" t="s">
        <v>7829</v>
      </c>
      <c r="B8" s="9" t="s">
        <v>7830</v>
      </c>
    </row>
    <row r="9" spans="1:2" ht="33.950000000000003" customHeight="1">
      <c r="A9" s="8" t="s">
        <v>7831</v>
      </c>
      <c r="B9" s="9" t="s">
        <v>7832</v>
      </c>
    </row>
    <row r="10" spans="1:2" ht="33.950000000000003" customHeight="1">
      <c r="A10" s="10" t="s">
        <v>7833</v>
      </c>
      <c r="B10" s="9" t="s">
        <v>7834</v>
      </c>
    </row>
    <row r="11" spans="1:2" ht="33.950000000000003" customHeight="1">
      <c r="A11" s="8" t="s">
        <v>7835</v>
      </c>
      <c r="B11" s="9" t="s">
        <v>7836</v>
      </c>
    </row>
    <row r="12" spans="1:2" ht="33.950000000000003" customHeight="1">
      <c r="A12" s="8" t="s">
        <v>7837</v>
      </c>
      <c r="B12" s="9" t="s">
        <v>7838</v>
      </c>
    </row>
    <row r="13" spans="1:2" ht="33.950000000000003" customHeight="1">
      <c r="A13" s="8" t="s">
        <v>7839</v>
      </c>
      <c r="B13" s="9" t="s">
        <v>7840</v>
      </c>
    </row>
    <row r="14" spans="1:2" ht="33.950000000000003" customHeight="1">
      <c r="A14" s="8" t="s">
        <v>7841</v>
      </c>
      <c r="B14" s="9" t="s">
        <v>7842</v>
      </c>
    </row>
    <row r="15" spans="1:2" ht="33.950000000000003" customHeight="1">
      <c r="A15" s="8" t="s">
        <v>7843</v>
      </c>
      <c r="B15" s="9" t="s">
        <v>7844</v>
      </c>
    </row>
    <row r="16" spans="1:2" ht="33.950000000000003" customHeight="1">
      <c r="A16" s="8" t="s">
        <v>18</v>
      </c>
      <c r="B16" s="9" t="s">
        <v>7845</v>
      </c>
    </row>
    <row r="17" spans="1:2" ht="33.950000000000003" customHeight="1">
      <c r="A17" s="8" t="s">
        <v>20</v>
      </c>
      <c r="B17" s="9" t="s">
        <v>7846</v>
      </c>
    </row>
    <row r="18" spans="1:2" ht="33.950000000000003" customHeight="1">
      <c r="A18" s="10" t="s">
        <v>7847</v>
      </c>
      <c r="B18" s="9" t="s">
        <v>7848</v>
      </c>
    </row>
    <row r="19" spans="1:2" ht="33.950000000000003" customHeight="1">
      <c r="A19" s="8" t="s">
        <v>7849</v>
      </c>
      <c r="B19" s="9" t="s">
        <v>7850</v>
      </c>
    </row>
    <row r="20" spans="1:2" ht="33.950000000000003" customHeight="1">
      <c r="A20" s="8" t="s">
        <v>7851</v>
      </c>
      <c r="B20" s="9" t="s">
        <v>7852</v>
      </c>
    </row>
    <row r="21" spans="1:2" ht="33.950000000000003" customHeight="1">
      <c r="A21" s="8" t="s">
        <v>7853</v>
      </c>
      <c r="B21" s="9" t="s">
        <v>7854</v>
      </c>
    </row>
    <row r="22" spans="1:2" ht="33.950000000000003" customHeight="1">
      <c r="A22" s="8" t="s">
        <v>7855</v>
      </c>
      <c r="B22" s="9" t="s">
        <v>7856</v>
      </c>
    </row>
  </sheetData>
  <autoFilter ref="A1:B22"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2"/>
  <sheetViews>
    <sheetView showGridLines="0" workbookViewId="0">
      <pane ySplit="1" topLeftCell="A2" activePane="bottomLeft" state="frozen"/>
      <selection pane="bottomLeft"/>
    </sheetView>
  </sheetViews>
  <sheetFormatPr defaultRowHeight="15"/>
  <cols>
    <col min="1" max="1" width="26" customWidth="1"/>
    <col min="2" max="2" width="115" customWidth="1"/>
  </cols>
  <sheetData>
    <row r="1" spans="1:2" ht="27.95" customHeight="1">
      <c r="A1" s="7" t="s">
        <v>7857</v>
      </c>
      <c r="B1" s="7" t="s">
        <v>7858</v>
      </c>
    </row>
    <row r="2" spans="1:2" ht="42" customHeight="1">
      <c r="A2" s="8" t="s">
        <v>7859</v>
      </c>
      <c r="B2" s="9" t="s">
        <v>7860</v>
      </c>
    </row>
    <row r="3" spans="1:2" ht="42" customHeight="1">
      <c r="A3" s="8" t="s">
        <v>7861</v>
      </c>
      <c r="B3" s="9" t="s">
        <v>7862</v>
      </c>
    </row>
    <row r="4" spans="1:2" ht="42" customHeight="1">
      <c r="A4" s="8" t="s">
        <v>7863</v>
      </c>
      <c r="B4" s="9" t="s">
        <v>7864</v>
      </c>
    </row>
    <row r="5" spans="1:2" ht="42" customHeight="1">
      <c r="A5" s="10" t="s">
        <v>7865</v>
      </c>
      <c r="B5" s="9" t="s">
        <v>7866</v>
      </c>
    </row>
    <row r="6" spans="1:2" ht="42" customHeight="1">
      <c r="A6" s="8" t="s">
        <v>7867</v>
      </c>
      <c r="B6" s="9" t="s">
        <v>7868</v>
      </c>
    </row>
    <row r="7" spans="1:2" ht="42" customHeight="1">
      <c r="A7" s="8" t="s">
        <v>7869</v>
      </c>
      <c r="B7" s="9" t="s">
        <v>7870</v>
      </c>
    </row>
    <row r="8" spans="1:2" ht="42" customHeight="1">
      <c r="A8" s="8" t="s">
        <v>7871</v>
      </c>
      <c r="B8" s="9" t="s">
        <v>7872</v>
      </c>
    </row>
    <row r="9" spans="1:2" ht="42" customHeight="1">
      <c r="A9" s="10" t="s">
        <v>7873</v>
      </c>
      <c r="B9" s="9" t="s">
        <v>7874</v>
      </c>
    </row>
    <row r="10" spans="1:2" ht="42" customHeight="1">
      <c r="A10" s="10" t="s">
        <v>7875</v>
      </c>
      <c r="B10" s="9" t="s">
        <v>7876</v>
      </c>
    </row>
    <row r="11" spans="1:2" ht="42" customHeight="1">
      <c r="A11" s="8" t="s">
        <v>7877</v>
      </c>
      <c r="B11" s="9" t="s">
        <v>7878</v>
      </c>
    </row>
    <row r="12" spans="1:2" ht="42" customHeight="1">
      <c r="A12" s="8" t="s">
        <v>7879</v>
      </c>
      <c r="B12" s="9" t="s">
        <v>7880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Bill Stoltenberg</dc:creator>
  <cp:keywords/>
  <dc:description/>
  <cp:lastModifiedBy>Bill Stoltenberg</cp:lastModifiedBy>
  <cp:revision/>
  <dcterms:created xsi:type="dcterms:W3CDTF">2026-08-27T18:40:55Z</dcterms:created>
  <dcterms:modified xsi:type="dcterms:W3CDTF">2026-08-27T18:41:49Z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66cf9-d28b-45a3-b4c2-6bbc84fe237f_Enabled">
    <vt:lpwstr>true</vt:lpwstr>
  </property>
  <property fmtid="{D5CDD505-2E9C-101B-9397-08002B2CF9AE}" pid="3" name="MSIP_Label_e8b66cf9-d28b-45a3-b4c2-6bbc84fe237f_SetDate">
    <vt:lpwstr>2026-08-27T18:40:55Z</vt:lpwstr>
  </property>
  <property fmtid="{D5CDD505-2E9C-101B-9397-08002B2CF9AE}" pid="4" name="MSIP_Label_e8b66cf9-d28b-45a3-b4c2-6bbc84fe237f_Method">
    <vt:lpwstr>Standard</vt:lpwstr>
  </property>
  <property fmtid="{D5CDD505-2E9C-101B-9397-08002B2CF9AE}" pid="5" name="MSIP_Label_e8b66cf9-d28b-45a3-b4c2-6bbc84fe237f_Name">
    <vt:lpwstr>e8b66cf9-d28b-45a3-b4c2-6bbc84fe237f</vt:lpwstr>
  </property>
  <property fmtid="{D5CDD505-2E9C-101B-9397-08002B2CF9AE}" pid="6" name="MSIP_Label_e8b66cf9-d28b-45a3-b4c2-6bbc84fe237f_SiteId">
    <vt:lpwstr>975c0940-6ee1-4da8-8016-f00c9fc8476f</vt:lpwstr>
  </property>
  <property fmtid="{D5CDD505-2E9C-101B-9397-08002B2CF9AE}" pid="7" name="MSIP_Label_e8b66cf9-d28b-45a3-b4c2-6bbc84fe237f_ActionId">
    <vt:lpwstr>fc3779d4-727a-42d1-b8f0-4aca9de6130c</vt:lpwstr>
  </property>
  <property fmtid="{D5CDD505-2E9C-101B-9397-08002B2CF9AE}" pid="8" name="MSIP_Label_e8b66cf9-d28b-45a3-b4c2-6bbc84fe237f_ContentBits">
    <vt:lpwstr>0</vt:lpwstr>
  </property>
</Properties>
</file>